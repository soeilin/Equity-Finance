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E:\followups\0.思维导图\4.Fin\2.GitHub\01_Earnings_Forecast_Pack\"/>
    </mc:Choice>
  </mc:AlternateContent>
  <xr:revisionPtr revIDLastSave="0" documentId="13_ncr:1_{185549CF-DCD1-47E2-85E0-C6D21067DF77}" xr6:coauthVersionLast="47" xr6:coauthVersionMax="47" xr10:uidLastSave="{00000000-0000-0000-0000-000000000000}"/>
  <bookViews>
    <workbookView xWindow="38280" yWindow="-120" windowWidth="29040" windowHeight="15720" tabRatio="774" xr2:uid="{00000000-000D-0000-FFFF-FFFF00000000}"/>
  </bookViews>
  <sheets>
    <sheet name="Inputs" sheetId="9" r:id="rId1"/>
    <sheet name="3-Scen + 4-Sens" sheetId="6" r:id="rId2"/>
    <sheet name="Timeline" sheetId="2" state="hidden" r:id="rId3"/>
    <sheet name="Sens_RG" sheetId="19" r:id="rId4"/>
    <sheet name="CF_Master" sheetId="3" state="hidden" r:id="rId5"/>
    <sheet name="CF_Base" sheetId="5" r:id="rId6"/>
    <sheet name="CF_Upside" sheetId="11" r:id="rId7"/>
    <sheet name="CF_Downside" sheetId="12" r:id="rId8"/>
    <sheet name="Calc_Notes" sheetId="4" r:id="rId9"/>
  </sheets>
  <calcPr calcId="191029"/>
  <pivotCaches>
    <pivotCache cacheId="7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6" l="1"/>
  <c r="K2" i="6"/>
  <c r="L2" i="6"/>
  <c r="M2" i="6"/>
  <c r="J2" i="6"/>
  <c r="D2" i="6"/>
  <c r="E2" i="6"/>
  <c r="F2" i="6"/>
  <c r="G2" i="6"/>
  <c r="H2" i="6"/>
  <c r="C2" i="6"/>
  <c r="E6" i="19"/>
  <c r="E7" i="19"/>
  <c r="E8" i="19"/>
  <c r="E9" i="19"/>
  <c r="E10" i="19"/>
  <c r="E5" i="19"/>
  <c r="D6" i="19"/>
  <c r="D7" i="19"/>
  <c r="D8" i="19"/>
  <c r="D9" i="19"/>
  <c r="D10" i="19"/>
  <c r="D5" i="19"/>
  <c r="C10" i="9"/>
  <c r="N7" i="6"/>
  <c r="M7" i="6"/>
  <c r="N6" i="6"/>
  <c r="M6" i="6"/>
  <c r="M13" i="12"/>
  <c r="L13" i="12"/>
  <c r="A13" i="12"/>
  <c r="M12" i="12"/>
  <c r="L12" i="12"/>
  <c r="A12" i="12"/>
  <c r="M11" i="12"/>
  <c r="L11" i="12"/>
  <c r="A11" i="12"/>
  <c r="M10" i="12"/>
  <c r="L10" i="12"/>
  <c r="A10" i="12"/>
  <c r="M9" i="12"/>
  <c r="L9" i="12"/>
  <c r="A9" i="12"/>
  <c r="M8" i="12"/>
  <c r="L8" i="12"/>
  <c r="A8" i="12"/>
  <c r="M7" i="12"/>
  <c r="L7" i="12"/>
  <c r="A7" i="12"/>
  <c r="M6" i="12"/>
  <c r="L6" i="12"/>
  <c r="A6" i="12"/>
  <c r="M5" i="12"/>
  <c r="L5" i="12"/>
  <c r="A5" i="12"/>
  <c r="M4" i="12"/>
  <c r="L4" i="12"/>
  <c r="A4" i="12"/>
  <c r="M3" i="12"/>
  <c r="L3" i="12"/>
  <c r="A3" i="12"/>
  <c r="M2" i="12"/>
  <c r="L2" i="12"/>
  <c r="A2" i="12"/>
  <c r="A13" i="11"/>
  <c r="A12" i="11"/>
  <c r="A11" i="11"/>
  <c r="A10" i="11"/>
  <c r="A9" i="11"/>
  <c r="A8" i="11"/>
  <c r="A7" i="11"/>
  <c r="A6" i="11"/>
  <c r="A5" i="11"/>
  <c r="A4" i="11"/>
  <c r="A3" i="11"/>
  <c r="M14" i="11"/>
  <c r="L14" i="11"/>
  <c r="A2" i="11"/>
  <c r="C7" i="9"/>
  <c r="C12" i="9"/>
  <c r="C13" i="9"/>
  <c r="C14" i="9"/>
  <c r="C20" i="9"/>
  <c r="A13" i="5"/>
  <c r="A12" i="5"/>
  <c r="A11" i="5"/>
  <c r="A10" i="5"/>
  <c r="A9" i="5"/>
  <c r="A8" i="5"/>
  <c r="A7" i="5"/>
  <c r="A6" i="5"/>
  <c r="A5" i="5"/>
  <c r="A4" i="5"/>
  <c r="A3" i="5"/>
  <c r="O14" i="5"/>
  <c r="M14" i="5"/>
  <c r="L14" i="5"/>
  <c r="A2" i="5"/>
  <c r="B3" i="2"/>
  <c r="B4" i="2"/>
  <c r="B5" i="2"/>
  <c r="B6" i="2"/>
  <c r="B7" i="2"/>
  <c r="B8" i="2"/>
  <c r="B9" i="2"/>
  <c r="B10" i="2"/>
  <c r="B11" i="2"/>
  <c r="B12" i="2"/>
  <c r="B13" i="2"/>
  <c r="B2" i="2"/>
  <c r="B3" i="12" l="1"/>
  <c r="B2" i="11"/>
  <c r="B9" i="11"/>
  <c r="B10" i="11"/>
  <c r="B4" i="12"/>
  <c r="B8" i="12"/>
  <c r="B12" i="12"/>
  <c r="B3" i="11"/>
  <c r="B11" i="11"/>
  <c r="B7" i="12"/>
  <c r="B4" i="11"/>
  <c r="B12" i="11"/>
  <c r="B5" i="12"/>
  <c r="B9" i="12"/>
  <c r="B13" i="12"/>
  <c r="B11" i="12"/>
  <c r="B8" i="11"/>
  <c r="B5" i="11"/>
  <c r="B13" i="11"/>
  <c r="B6" i="11"/>
  <c r="B2" i="12"/>
  <c r="B6" i="12"/>
  <c r="B10" i="12"/>
  <c r="L14" i="12"/>
  <c r="B7" i="11"/>
  <c r="M14" i="12"/>
  <c r="G5" i="12"/>
  <c r="H5" i="12" s="1"/>
  <c r="D8" i="12"/>
  <c r="G2" i="12"/>
  <c r="H2" i="12" s="1"/>
  <c r="O8" i="12"/>
  <c r="O5" i="12"/>
  <c r="G9" i="12"/>
  <c r="H9" i="12" s="1"/>
  <c r="D11" i="12"/>
  <c r="D12" i="12"/>
  <c r="G6" i="12"/>
  <c r="H6" i="12" s="1"/>
  <c r="G3" i="12"/>
  <c r="H3" i="12" s="1"/>
  <c r="O11" i="12"/>
  <c r="O2" i="12"/>
  <c r="O12" i="12"/>
  <c r="O4" i="12"/>
  <c r="G13" i="12"/>
  <c r="H13" i="12" s="1"/>
  <c r="O6" i="12"/>
  <c r="G10" i="12"/>
  <c r="H10" i="12" s="1"/>
  <c r="O10" i="12"/>
  <c r="O7" i="12"/>
  <c r="O9" i="12"/>
  <c r="O3" i="12"/>
  <c r="G7" i="12"/>
  <c r="H7" i="12" s="1"/>
  <c r="G4" i="12"/>
  <c r="H4" i="12" s="1"/>
  <c r="O13" i="12"/>
  <c r="C12" i="12"/>
  <c r="C4" i="12"/>
  <c r="C7" i="12"/>
  <c r="C8" i="12"/>
  <c r="C13" i="12"/>
  <c r="D4" i="12"/>
  <c r="D7" i="12"/>
  <c r="D9" i="12"/>
  <c r="D13" i="12"/>
  <c r="E3" i="12"/>
  <c r="E4" i="12"/>
  <c r="E5" i="12"/>
  <c r="E6" i="12"/>
  <c r="E7" i="12"/>
  <c r="E8" i="12"/>
  <c r="E9" i="12"/>
  <c r="E10" i="12"/>
  <c r="E11" i="12"/>
  <c r="E12" i="12"/>
  <c r="E13" i="12"/>
  <c r="C10" i="12"/>
  <c r="D3" i="12"/>
  <c r="D10" i="12"/>
  <c r="G11" i="12"/>
  <c r="H11" i="12" s="1"/>
  <c r="C3" i="12"/>
  <c r="C11" i="12"/>
  <c r="D6" i="12"/>
  <c r="G8" i="12"/>
  <c r="H8" i="12" s="1"/>
  <c r="G12" i="12"/>
  <c r="H12" i="12" s="1"/>
  <c r="C2" i="12"/>
  <c r="C5" i="12"/>
  <c r="C6" i="12"/>
  <c r="C9" i="12"/>
  <c r="D2" i="12"/>
  <c r="D5" i="12"/>
  <c r="E2" i="12"/>
  <c r="B11" i="5"/>
  <c r="B3" i="5"/>
  <c r="B6" i="5"/>
  <c r="B7" i="5"/>
  <c r="B8" i="5"/>
  <c r="B2" i="5"/>
  <c r="B9" i="5"/>
  <c r="B10" i="5"/>
  <c r="B4" i="5"/>
  <c r="B12" i="5"/>
  <c r="B5" i="5"/>
  <c r="B13" i="5"/>
  <c r="H14" i="5"/>
  <c r="O14" i="12" l="1"/>
  <c r="H14" i="12"/>
  <c r="I5" i="12"/>
  <c r="F5" i="12"/>
  <c r="I3" i="12"/>
  <c r="F3" i="12"/>
  <c r="I10" i="12"/>
  <c r="F10" i="12"/>
  <c r="I13" i="12"/>
  <c r="F13" i="12"/>
  <c r="I2" i="12"/>
  <c r="F2" i="12"/>
  <c r="I11" i="12"/>
  <c r="F11" i="12"/>
  <c r="I8" i="12"/>
  <c r="F8" i="12"/>
  <c r="I7" i="12"/>
  <c r="F7" i="12"/>
  <c r="I4" i="12"/>
  <c r="F4" i="12"/>
  <c r="I9" i="12"/>
  <c r="F9" i="12"/>
  <c r="I12" i="12"/>
  <c r="F12" i="12"/>
  <c r="I6" i="12"/>
  <c r="F6" i="12"/>
  <c r="O14" i="3"/>
  <c r="O14" i="11"/>
  <c r="H14" i="11"/>
  <c r="J8" i="12" l="1"/>
  <c r="K8" i="12" s="1"/>
  <c r="N8" i="12" s="1"/>
  <c r="P8" i="12" s="1"/>
  <c r="J2" i="12"/>
  <c r="K2" i="12" s="1"/>
  <c r="F14" i="12"/>
  <c r="J13" i="12"/>
  <c r="K13" i="12" s="1"/>
  <c r="N13" i="12" s="1"/>
  <c r="P13" i="12" s="1"/>
  <c r="J10" i="12"/>
  <c r="K10" i="12" s="1"/>
  <c r="N10" i="12" s="1"/>
  <c r="P10" i="12" s="1"/>
  <c r="J7" i="12"/>
  <c r="K7" i="12" s="1"/>
  <c r="N7" i="12" s="1"/>
  <c r="P7" i="12" s="1"/>
  <c r="J3" i="12"/>
  <c r="K3" i="12" s="1"/>
  <c r="N3" i="12" s="1"/>
  <c r="P3" i="12" s="1"/>
  <c r="I14" i="12"/>
  <c r="J11" i="12"/>
  <c r="K11" i="12" s="1"/>
  <c r="N11" i="12" s="1"/>
  <c r="P11" i="12" s="1"/>
  <c r="J6" i="12"/>
  <c r="K6" i="12" s="1"/>
  <c r="N6" i="12" s="1"/>
  <c r="P6" i="12" s="1"/>
  <c r="J12" i="12"/>
  <c r="K12" i="12" s="1"/>
  <c r="N12" i="12" s="1"/>
  <c r="P12" i="12" s="1"/>
  <c r="J4" i="12"/>
  <c r="K4" i="12" s="1"/>
  <c r="N4" i="12" s="1"/>
  <c r="P4" i="12" s="1"/>
  <c r="J5" i="12"/>
  <c r="K5" i="12" s="1"/>
  <c r="N5" i="12" s="1"/>
  <c r="P5" i="12" s="1"/>
  <c r="J9" i="12"/>
  <c r="K9" i="12" s="1"/>
  <c r="N9" i="12" s="1"/>
  <c r="P9" i="12" s="1"/>
  <c r="F14" i="11"/>
  <c r="I14" i="11"/>
  <c r="F14" i="5"/>
  <c r="I14" i="5"/>
  <c r="M14" i="3"/>
  <c r="L14" i="3"/>
  <c r="N2" i="12" l="1"/>
  <c r="K14" i="12"/>
  <c r="J14" i="12"/>
  <c r="K14" i="11"/>
  <c r="J14" i="11"/>
  <c r="K14" i="5"/>
  <c r="J14" i="5"/>
  <c r="H14" i="3"/>
  <c r="I14" i="3"/>
  <c r="F14" i="3"/>
  <c r="N14" i="12" l="1"/>
  <c r="P2" i="12"/>
  <c r="P14" i="12" s="1"/>
  <c r="N14" i="11"/>
  <c r="P14" i="11"/>
  <c r="N14" i="5"/>
  <c r="P14" i="5"/>
  <c r="J14" i="3"/>
  <c r="K14" i="3" l="1"/>
  <c r="N14" i="3"/>
  <c r="P1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2BD102-7377-4AB0-BE2E-EF92CFB3C4D2}" keepAlive="1" name="查询 - CF_Base" description="与工作簿中“CF_Base”查询的连接。" type="5" refreshedVersion="0" background="1">
    <dbPr connection="Provider=Microsoft.Mashup.OleDb.1;Data Source=$Workbook$;Location=CF_Base;Extended Properties=&quot;&quot;" command="SELECT * FROM [CF_Base]"/>
  </connection>
  <connection id="2" xr16:uid="{A1F7450C-E07C-446E-86D9-A102CF161723}" keepAlive="1" name="查询 - CF_Downside" description="与工作簿中“CF_Downside”查询的连接。" type="5" refreshedVersion="8" background="1" saveData="1">
    <dbPr connection="Provider=Microsoft.Mashup.OleDb.1;Data Source=$Workbook$;Location=CF_Downside;Extended Properties=&quot;&quot;" command="SELECT * FROM [CF_Downside]"/>
  </connection>
  <connection id="3" xr16:uid="{FDD55E30-EEA6-4CBC-AD14-82EE59B14C8A}" keepAlive="1" name="查询 - CF_Scenario" description="与工作簿中“CF_Scenario”查询的连接。" type="5" refreshedVersion="8" background="1">
    <dbPr connection="Provider=Microsoft.Mashup.OleDb.1;Data Source=$Workbook$;Location=CF_Scenario;Extended Properties=&quot;&quot;" command="SELECT * FROM [CF_Scenario]"/>
  </connection>
  <connection id="4" xr16:uid="{2061DA52-A5DB-4ED0-99D5-4A11E5138824}" keepAlive="1" name="查询 - CF_Upside" description="与工作簿中“CF_Upside”查询的连接。" type="5" refreshedVersion="0" background="1">
    <dbPr connection="Provider=Microsoft.Mashup.OleDb.1;Data Source=$Workbook$;Location=CF_Upside;Extended Properties=&quot;&quot;" command="SELECT * FROM [CF_Upside]"/>
  </connection>
</connections>
</file>

<file path=xl/sharedStrings.xml><?xml version="1.0" encoding="utf-8"?>
<sst xmlns="http://schemas.openxmlformats.org/spreadsheetml/2006/main" count="238" uniqueCount="120">
  <si>
    <t>Key</t>
  </si>
  <si>
    <t>Property_Name</t>
  </si>
  <si>
    <t>Sample Mall</t>
  </si>
  <si>
    <t>Analysis_Start</t>
  </si>
  <si>
    <t>Analysis_Months</t>
  </si>
  <si>
    <t>GLA_sqft</t>
  </si>
  <si>
    <t>Base_Rent_psf_pa</t>
  </si>
  <si>
    <t>Annual_Rent_Growth_pct</t>
  </si>
  <si>
    <t>Free_Rent_Months</t>
  </si>
  <si>
    <t>Lease_Term_Months</t>
  </si>
  <si>
    <t>Downtime_Months</t>
  </si>
  <si>
    <t>Expense_Base_psf_pa</t>
  </si>
  <si>
    <t>Expense_Growth_pct</t>
  </si>
  <si>
    <t>CAM_Recovery_pct</t>
  </si>
  <si>
    <t>Bad_Debt_pct_of_Rent</t>
  </si>
  <si>
    <t>TI_psf</t>
  </si>
  <si>
    <t>TI($/psf)</t>
  </si>
  <si>
    <t>LC_pct_of_Year1_Rent</t>
  </si>
  <si>
    <t>TI_Amort_Years</t>
  </si>
  <si>
    <t>LC_Amort_Years</t>
  </si>
  <si>
    <t>Debt_Balance</t>
  </si>
  <si>
    <t>Reference_Rate_pct</t>
  </si>
  <si>
    <t>Spread_pct</t>
  </si>
  <si>
    <t>Hedge_pct_of_Debt</t>
  </si>
  <si>
    <t>Hedge_Fixed_Rate_pct</t>
  </si>
  <si>
    <t>Month_Index</t>
  </si>
  <si>
    <t>Month_Start</t>
  </si>
  <si>
    <t>Occupied</t>
  </si>
  <si>
    <t>FreeRent</t>
  </si>
  <si>
    <t>Rent_psf_pa</t>
  </si>
  <si>
    <t>Base_Rent</t>
  </si>
  <si>
    <t>Expense_psf_pa</t>
  </si>
  <si>
    <t>OpEx</t>
  </si>
  <si>
    <t>Recoveries</t>
  </si>
  <si>
    <t>Bad_Debt</t>
  </si>
  <si>
    <t>NOI_pre_Amort</t>
  </si>
  <si>
    <t>TI_Amort</t>
  </si>
  <si>
    <t>LC_Amort</t>
  </si>
  <si>
    <t>NOI</t>
  </si>
  <si>
    <t>Interest_Expense</t>
  </si>
  <si>
    <t>AFFO</t>
  </si>
  <si>
    <t>Totals</t>
  </si>
  <si>
    <t>Occupied*(1-FreeRent)*(Rent_psf_pa/12)*GLA_sqft</t>
  </si>
  <si>
    <t>(Expense_psf_pa/12)*GLA_sqft</t>
  </si>
  <si>
    <t>-(Base_Rent+Recoveries)*Bad_Debt_pct_of_Rent</t>
  </si>
  <si>
    <t>Base_Rent + Recoveries + Bad_Debt - OpEx</t>
  </si>
  <si>
    <t>NOI_pre_Amort + TI_Amort + LC_Amort</t>
  </si>
  <si>
    <t>NOI + Interest_Expense</t>
  </si>
  <si>
    <r>
      <rPr>
        <b/>
        <sz val="11"/>
        <color theme="1"/>
        <rFont val="宋体"/>
        <family val="2"/>
      </rPr>
      <t>字段</t>
    </r>
    <r>
      <rPr>
        <b/>
        <sz val="11"/>
        <color theme="1"/>
        <rFont val="Calibri"/>
        <family val="2"/>
      </rPr>
      <t>/</t>
    </r>
    <r>
      <rPr>
        <b/>
        <sz val="11"/>
        <color theme="1"/>
        <rFont val="宋体"/>
        <family val="2"/>
      </rPr>
      <t>公式</t>
    </r>
  </si>
  <si>
    <r>
      <rPr>
        <b/>
        <sz val="11"/>
        <color theme="1"/>
        <rFont val="宋体"/>
        <family val="2"/>
      </rPr>
      <t>说明</t>
    </r>
  </si>
  <si>
    <t>Month_Index&gt;=Downtime+1, Month_Index&lt;=Downtime+Lease_Term</t>
    <phoneticPr fontId="1" type="noConversion"/>
  </si>
  <si>
    <t>Month_Index&gt;=Downtime+1, Month_Index&lt;=Downtime+Free_Rent</t>
    <phoneticPr fontId="1" type="noConversion"/>
  </si>
  <si>
    <t>Monthly compounding annual rent growth</t>
  </si>
  <si>
    <t>Monthly compounding Expense_Base_psf_pa</t>
    <phoneticPr fontId="1" type="noConversion"/>
  </si>
  <si>
    <t>Occupied OpEx with CAM_Recovery</t>
    <phoneticPr fontId="1" type="noConversion"/>
  </si>
  <si>
    <r>
      <rPr>
        <b/>
        <sz val="11"/>
        <color theme="1"/>
        <rFont val="宋体"/>
        <family val="2"/>
      </rPr>
      <t>描述</t>
    </r>
  </si>
  <si>
    <r>
      <rPr>
        <sz val="11"/>
        <color theme="1"/>
        <rFont val="宋体"/>
        <family val="2"/>
      </rPr>
      <t>文本</t>
    </r>
    <r>
      <rPr>
        <sz val="11"/>
        <color theme="1"/>
        <rFont val="Calibri"/>
        <family val="2"/>
      </rPr>
      <t>/</t>
    </r>
    <r>
      <rPr>
        <sz val="11"/>
        <color theme="1"/>
        <rFont val="宋体"/>
        <family val="2"/>
      </rPr>
      <t>标识</t>
    </r>
  </si>
  <si>
    <r>
      <rPr>
        <sz val="11"/>
        <color theme="1"/>
        <rFont val="宋体"/>
        <family val="2"/>
      </rPr>
      <t>分析起始日</t>
    </r>
  </si>
  <si>
    <r>
      <rPr>
        <sz val="11"/>
        <color theme="1"/>
        <rFont val="宋体"/>
        <family val="2"/>
      </rPr>
      <t>分析月数</t>
    </r>
  </si>
  <si>
    <r>
      <t>GLA(</t>
    </r>
    <r>
      <rPr>
        <sz val="11"/>
        <color theme="1"/>
        <rFont val="宋体"/>
        <family val="2"/>
      </rPr>
      <t>平方英尺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</si>
  <si>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首年租金</t>
    </r>
    <r>
      <rPr>
        <sz val="11"/>
        <color theme="1"/>
        <rFont val="Calibri"/>
        <family val="2"/>
      </rPr>
      <t>($/psf/</t>
    </r>
    <r>
      <rPr>
        <sz val="11"/>
        <color theme="1"/>
        <rFont val="宋体"/>
        <family val="2"/>
      </rPr>
      <t>年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</si>
  <si>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租金年增长率</t>
    </r>
  </si>
  <si>
    <r>
      <rPr>
        <sz val="11"/>
        <color theme="1"/>
        <rFont val="宋体"/>
        <family val="2"/>
      </rPr>
      <t>免租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月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</si>
  <si>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租期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月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</si>
  <si>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起租前空置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月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</si>
  <si>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费用基准</t>
    </r>
    <r>
      <rPr>
        <sz val="11"/>
        <color theme="1"/>
        <rFont val="Calibri"/>
        <family val="2"/>
      </rPr>
      <t>($/psf/</t>
    </r>
    <r>
      <rPr>
        <sz val="11"/>
        <color theme="1"/>
        <rFont val="宋体"/>
        <family val="2"/>
      </rPr>
      <t>年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</si>
  <si>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费用年增长率</t>
    </r>
  </si>
  <si>
    <r>
      <rPr>
        <sz val="11"/>
        <color theme="1"/>
        <rFont val="宋体"/>
        <family val="2"/>
      </rPr>
      <t>可回收比例</t>
    </r>
  </si>
  <si>
    <r>
      <rPr>
        <sz val="11"/>
        <color theme="1"/>
        <rFont val="宋体"/>
        <family val="2"/>
      </rPr>
      <t>坏账率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对租金</t>
    </r>
    <r>
      <rPr>
        <sz val="11"/>
        <color theme="1"/>
        <rFont val="Calibri"/>
        <family val="2"/>
      </rPr>
      <t>+Recoveries)</t>
    </r>
  </si>
  <si>
    <r>
      <t>LC(</t>
    </r>
    <r>
      <rPr>
        <sz val="11"/>
        <color theme="1"/>
        <rFont val="宋体"/>
        <family val="2"/>
      </rPr>
      <t>首年租金</t>
    </r>
    <r>
      <rPr>
        <sz val="11"/>
        <color theme="1"/>
        <rFont val="Calibri"/>
        <family val="2"/>
      </rPr>
      <t>%)</t>
    </r>
  </si>
  <si>
    <r>
      <t>TI</t>
    </r>
    <r>
      <rPr>
        <sz val="11"/>
        <color theme="1"/>
        <rFont val="宋体"/>
        <family val="2"/>
      </rPr>
      <t>摊销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年</t>
    </r>
    <r>
      <rPr>
        <sz val="11"/>
        <color theme="1"/>
        <rFont val="Calibri"/>
        <family val="2"/>
      </rPr>
      <t>)</t>
    </r>
  </si>
  <si>
    <r>
      <t>LC</t>
    </r>
    <r>
      <rPr>
        <sz val="11"/>
        <color theme="1"/>
        <rFont val="宋体"/>
        <family val="2"/>
      </rPr>
      <t>摊销</t>
    </r>
    <r>
      <rPr>
        <sz val="11"/>
        <color theme="1"/>
        <rFont val="Calibri"/>
        <family val="2"/>
      </rPr>
      <t>(</t>
    </r>
    <r>
      <rPr>
        <sz val="11"/>
        <color theme="1"/>
        <rFont val="宋体"/>
        <family val="2"/>
      </rPr>
      <t>年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</si>
  <si>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宋体"/>
        <family val="2"/>
      </rPr>
      <t>债务余额</t>
    </r>
  </si>
  <si>
    <r>
      <rPr>
        <sz val="11"/>
        <color theme="1"/>
        <rFont val="宋体"/>
        <family val="2"/>
      </rPr>
      <t>参考利率</t>
    </r>
  </si>
  <si>
    <r>
      <rPr>
        <sz val="11"/>
        <color theme="1"/>
        <rFont val="宋体"/>
        <family val="2"/>
      </rPr>
      <t>利差</t>
    </r>
  </si>
  <si>
    <r>
      <rPr>
        <sz val="11"/>
        <color theme="1"/>
        <rFont val="宋体"/>
        <family val="2"/>
      </rPr>
      <t>对冲比例</t>
    </r>
  </si>
  <si>
    <r>
      <rPr>
        <sz val="11"/>
        <color theme="1"/>
        <rFont val="宋体"/>
        <family val="2"/>
      </rPr>
      <t>对冲固定利率</t>
    </r>
  </si>
  <si>
    <t>only for TI_Amort_Years, evenly amortized</t>
    <phoneticPr fontId="1" type="noConversion"/>
  </si>
  <si>
    <t>only for LC_Amort_Years, evenly amortized</t>
    <phoneticPr fontId="1" type="noConversion"/>
  </si>
  <si>
    <t>Smooths large upfront costs into uniform monthly charges to show stabilized NOI/AFFO impact.</t>
    <phoneticPr fontId="1" type="noConversion"/>
  </si>
  <si>
    <t>Aligns one-off leasing costs with the economic benefit period of the lease.</t>
    <phoneticPr fontId="1" type="noConversion"/>
  </si>
  <si>
    <t>Debt_Balance with Eff_rate per month</t>
    <phoneticPr fontId="1" type="noConversion"/>
  </si>
  <si>
    <t>Scenario</t>
  </si>
  <si>
    <t>Scenario</t>
    <phoneticPr fontId="1" type="noConversion"/>
  </si>
  <si>
    <t>Base</t>
    <phoneticPr fontId="1" type="noConversion"/>
  </si>
  <si>
    <t>Upside</t>
    <phoneticPr fontId="1" type="noConversion"/>
  </si>
  <si>
    <t>Downside</t>
    <phoneticPr fontId="1" type="noConversion"/>
  </si>
  <si>
    <t>CF_Downside</t>
  </si>
  <si>
    <t>CF_Downside</t>
    <phoneticPr fontId="1" type="noConversion"/>
  </si>
  <si>
    <t>CF_Base</t>
  </si>
  <si>
    <t>CF_Base</t>
    <phoneticPr fontId="1" type="noConversion"/>
  </si>
  <si>
    <t>CF_Upside</t>
  </si>
  <si>
    <t>CF_Upside</t>
    <phoneticPr fontId="1" type="noConversion"/>
  </si>
  <si>
    <t>NOI_pre_Amort_</t>
  </si>
  <si>
    <t>NOI_</t>
  </si>
  <si>
    <t>AFFO_</t>
  </si>
  <si>
    <t>Total</t>
  </si>
  <si>
    <t>diff</t>
    <phoneticPr fontId="1" type="noConversion"/>
  </si>
  <si>
    <t>diff%</t>
    <phoneticPr fontId="1" type="noConversion"/>
  </si>
  <si>
    <t>Sensitivity</t>
    <phoneticPr fontId="1" type="noConversion"/>
  </si>
  <si>
    <t>Candidate</t>
  </si>
  <si>
    <t>Year_NOI_pre_Amort</t>
  </si>
  <si>
    <t>Year_AFFO</t>
  </si>
  <si>
    <t>Δ% vs Base</t>
  </si>
  <si>
    <t>Rent Growth (Annual_Rent_Growth_pct) Sensitivity</t>
    <phoneticPr fontId="1" type="noConversion"/>
  </si>
  <si>
    <t xml:space="preserve">Scenario </t>
    <phoneticPr fontId="1" type="noConversion"/>
  </si>
  <si>
    <t>Section</t>
    <phoneticPr fontId="1" type="noConversion"/>
  </si>
  <si>
    <t>Scenario Value</t>
    <phoneticPr fontId="1" type="noConversion"/>
  </si>
  <si>
    <t>ΔNOI vs Base</t>
    <phoneticPr fontId="1" type="noConversion"/>
  </si>
  <si>
    <t/>
  </si>
  <si>
    <t>Annual_Rent_Growth_pct</t>
    <phoneticPr fontId="1" type="noConversion"/>
  </si>
  <si>
    <t>Downtime_Months</t>
    <phoneticPr fontId="1" type="noConversion"/>
  </si>
  <si>
    <t>Expense_Growth_pct</t>
    <phoneticPr fontId="1" type="noConversion"/>
  </si>
  <si>
    <t>CAM_Recovery_pct</t>
    <phoneticPr fontId="1" type="noConversion"/>
  </si>
  <si>
    <t>Bad_Debt_pct_of_Rent</t>
    <phoneticPr fontId="1" type="noConversion"/>
  </si>
  <si>
    <t>Reference_Rate_pct</t>
    <phoneticPr fontId="1" type="noConversion"/>
  </si>
  <si>
    <t>NOI_pre_Amort_</t>
    <phoneticPr fontId="1" type="noConversion"/>
  </si>
  <si>
    <t>NOI_</t>
    <phoneticPr fontId="1" type="noConversion"/>
  </si>
  <si>
    <t>AFFO_</t>
    <phoneticPr fontId="1" type="noConversion"/>
  </si>
  <si>
    <t>Upside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</si>
</sst>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_ "/>
    <numFmt numFmtId="178" formatCode="#,##0.00_);[Red]\(#,##0.00\)"/>
    <numFmt numFmtId="179" formatCode="0.0%"/>
    <numFmt numFmtId="180" formatCode="0_);[Red]\(0\)"/>
    <numFmt numFmtId="181" formatCode="#,##0.00_ "/>
  </numFmts>
  <fonts count="1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宋体"/>
      <family val="2"/>
    </font>
    <font>
      <sz val="11"/>
      <color theme="1"/>
      <name val="宋体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宋体"/>
      <family val="2"/>
      <scheme val="minor"/>
    </font>
    <font>
      <i/>
      <sz val="11"/>
      <color rgb="FF555555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>
      <alignment vertical="center"/>
    </xf>
  </cellStyleXfs>
  <cellXfs count="60">
    <xf numFmtId="0" fontId="0" fillId="0" borderId="0" xfId="0"/>
    <xf numFmtId="0" fontId="3" fillId="0" borderId="0" xfId="0" applyFont="1"/>
    <xf numFmtId="176" fontId="3" fillId="0" borderId="0" xfId="0" applyNumberFormat="1" applyFont="1"/>
    <xf numFmtId="0" fontId="2" fillId="2" borderId="1" xfId="0" applyFont="1" applyFill="1" applyBorder="1"/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3" borderId="0" xfId="0" applyFont="1" applyFill="1"/>
    <xf numFmtId="10" fontId="3" fillId="3" borderId="0" xfId="0" applyNumberFormat="1" applyFont="1" applyFill="1"/>
    <xf numFmtId="0" fontId="3" fillId="4" borderId="0" xfId="0" applyFont="1" applyFill="1"/>
    <xf numFmtId="10" fontId="3" fillId="4" borderId="0" xfId="0" applyNumberFormat="1" applyFont="1" applyFill="1"/>
    <xf numFmtId="0" fontId="3" fillId="5" borderId="0" xfId="0" applyFont="1" applyFill="1"/>
    <xf numFmtId="10" fontId="3" fillId="5" borderId="0" xfId="0" applyNumberFormat="1" applyFont="1" applyFill="1"/>
    <xf numFmtId="0" fontId="3" fillId="6" borderId="0" xfId="0" applyFont="1" applyFill="1"/>
    <xf numFmtId="10" fontId="3" fillId="6" borderId="0" xfId="0" applyNumberFormat="1" applyFont="1" applyFill="1"/>
    <xf numFmtId="0" fontId="2" fillId="6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77" fontId="3" fillId="6" borderId="0" xfId="0" applyNumberFormat="1" applyFont="1" applyFill="1"/>
    <xf numFmtId="177" fontId="3" fillId="4" borderId="0" xfId="0" applyNumberFormat="1" applyFont="1" applyFill="1"/>
    <xf numFmtId="0" fontId="7" fillId="2" borderId="1" xfId="0" applyFont="1" applyFill="1" applyBorder="1"/>
    <xf numFmtId="0" fontId="8" fillId="0" borderId="0" xfId="0" applyFont="1"/>
    <xf numFmtId="176" fontId="8" fillId="0" borderId="0" xfId="0" applyNumberFormat="1" applyFont="1"/>
    <xf numFmtId="0" fontId="2" fillId="0" borderId="0" xfId="0" applyFont="1"/>
    <xf numFmtId="0" fontId="6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/>
    <xf numFmtId="3" fontId="6" fillId="7" borderId="1" xfId="0" applyNumberFormat="1" applyFont="1" applyFill="1" applyBorder="1"/>
    <xf numFmtId="4" fontId="6" fillId="7" borderId="1" xfId="0" applyNumberFormat="1" applyFont="1" applyFill="1" applyBorder="1"/>
    <xf numFmtId="2" fontId="3" fillId="0" borderId="0" xfId="0" applyNumberFormat="1" applyFont="1"/>
    <xf numFmtId="178" fontId="3" fillId="0" borderId="0" xfId="0" applyNumberFormat="1" applyFont="1"/>
    <xf numFmtId="178" fontId="6" fillId="7" borderId="1" xfId="0" applyNumberFormat="1" applyFont="1" applyFill="1" applyBorder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81" fontId="3" fillId="0" borderId="0" xfId="0" applyNumberFormat="1" applyFont="1"/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79" fontId="3" fillId="0" borderId="1" xfId="1" applyNumberFormat="1" applyFont="1" applyBorder="1" applyAlignment="1"/>
    <xf numFmtId="180" fontId="3" fillId="0" borderId="1" xfId="1" applyNumberFormat="1" applyFont="1" applyBorder="1" applyAlignment="1"/>
    <xf numFmtId="0" fontId="3" fillId="0" borderId="1" xfId="0" applyFont="1" applyBorder="1" applyAlignment="1">
      <alignment horizontal="left"/>
    </xf>
    <xf numFmtId="181" fontId="3" fillId="0" borderId="1" xfId="0" applyNumberFormat="1" applyFont="1" applyBorder="1"/>
    <xf numFmtId="0" fontId="3" fillId="0" borderId="1" xfId="0" pivotButton="1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2" fillId="8" borderId="1" xfId="0" applyFont="1" applyFill="1" applyBorder="1" applyAlignment="1">
      <alignment horizont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0" fontId="10" fillId="0" borderId="0" xfId="0" applyFont="1"/>
    <xf numFmtId="10" fontId="3" fillId="0" borderId="0" xfId="0" applyNumberFormat="1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center"/>
    </xf>
    <xf numFmtId="10" fontId="6" fillId="10" borderId="1" xfId="1" applyNumberFormat="1" applyFont="1" applyFill="1" applyBorder="1" applyAlignment="1">
      <alignment horizontal="right"/>
    </xf>
    <xf numFmtId="10" fontId="3" fillId="0" borderId="0" xfId="1" applyNumberFormat="1" applyFont="1" applyAlignment="1"/>
    <xf numFmtId="2" fontId="0" fillId="0" borderId="0" xfId="0" applyNumberFormat="1"/>
    <xf numFmtId="9" fontId="3" fillId="0" borderId="0" xfId="1" applyFont="1" applyAlignment="1"/>
    <xf numFmtId="179" fontId="3" fillId="0" borderId="0" xfId="1" applyNumberFormat="1" applyFont="1" applyAlignment="1"/>
    <xf numFmtId="0" fontId="2" fillId="8" borderId="1" xfId="0" applyFont="1" applyFill="1" applyBorder="1" applyAlignment="1">
      <alignment horizontal="center" vertical="center" wrapText="1"/>
    </xf>
    <xf numFmtId="178" fontId="3" fillId="0" borderId="0" xfId="1" applyNumberFormat="1" applyFont="1" applyAlignment="1"/>
  </cellXfs>
  <cellStyles count="2">
    <cellStyle name="百分比" xfId="1" builtinId="5"/>
    <cellStyle name="常规" xfId="0" builtinId="0"/>
  </cellStyles>
  <dxfs count="73">
    <dxf>
      <font>
        <color rgb="FFFF0000"/>
      </font>
    </dxf>
    <dxf>
      <alignment wrapText="1"/>
    </dxf>
    <dxf>
      <alignment wrapText="1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81" formatCode="#,##0.00_ 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8" formatCode="#,##0.00_)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Tornado - Sens_RG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Sens_RG!$D$4</c:f>
              <c:strCache>
                <c:ptCount val="1"/>
                <c:pt idx="0">
                  <c:v>ΔNOI vs Base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numRef>
              <c:f>Sens_RG!$A$5:$A$10</c:f>
              <c:numCache>
                <c:formatCode>0.00%</c:formatCode>
                <c:ptCount val="6"/>
                <c:pt idx="0">
                  <c:v>0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</c:numCache>
            </c:numRef>
          </c:cat>
          <c:val>
            <c:numRef>
              <c:f>Sens_RG!$D$5:$D$10</c:f>
              <c:numCache>
                <c:formatCode>0.00</c:formatCode>
                <c:ptCount val="6"/>
                <c:pt idx="0">
                  <c:v>-6668.1919077040511</c:v>
                </c:pt>
                <c:pt idx="1">
                  <c:v>-2215.0432446060586</c:v>
                </c:pt>
                <c:pt idx="2">
                  <c:v>0</c:v>
                </c:pt>
                <c:pt idx="3">
                  <c:v>2207.5032125666039</c:v>
                </c:pt>
                <c:pt idx="4">
                  <c:v>4407.5735821083072</c:v>
                </c:pt>
                <c:pt idx="5">
                  <c:v>6600.3157405087259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240-BC95-05C15AF3B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0"/>
        <c:ser>
          <c:idx val="1"/>
          <c:order val="1"/>
          <c:tx>
            <c:strRef>
              <c:f>Sens_RG!$E$4</c:f>
              <c:strCache>
                <c:ptCount val="1"/>
                <c:pt idx="0">
                  <c:v>Δ% vs Base</c:v>
                </c:pt>
              </c:strCache>
            </c:strRef>
          </c:tx>
          <c:marker>
            <c:symbol val="none"/>
          </c:marker>
          <c:cat>
            <c:numRef>
              <c:f>Sens_RG!$A$5:$A$10</c:f>
              <c:numCache>
                <c:formatCode>0.00%</c:formatCode>
                <c:ptCount val="6"/>
                <c:pt idx="0">
                  <c:v>0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</c:numCache>
            </c:numRef>
          </c:cat>
          <c:val>
            <c:numRef>
              <c:f>Sens_RG!$E$5:$E$10</c:f>
              <c:numCache>
                <c:formatCode>0.00%</c:formatCode>
                <c:ptCount val="6"/>
                <c:pt idx="0">
                  <c:v>-2.0746030535689353E-2</c:v>
                </c:pt>
                <c:pt idx="1">
                  <c:v>-6.8914265555821697E-3</c:v>
                </c:pt>
                <c:pt idx="2">
                  <c:v>0</c:v>
                </c:pt>
                <c:pt idx="3">
                  <c:v>6.8679680623211503E-3</c:v>
                </c:pt>
                <c:pt idx="4">
                  <c:v>1.3712811117069457E-2</c:v>
                </c:pt>
                <c:pt idx="5">
                  <c:v>2.053485469420635E-2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2B-4240-BC95-05C15AF3B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2319824"/>
        <c:axId val="952313104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Candidate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low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l-GR"/>
                  <a:t>Δ </a:t>
                </a:r>
                <a:r>
                  <a:rPr lang="en-US"/>
                  <a:t>vs Base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95231310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crossAx val="952319824"/>
        <c:crosses val="max"/>
        <c:crossBetween val="between"/>
      </c:valAx>
      <c:catAx>
        <c:axId val="952319824"/>
        <c:scaling>
          <c:orientation val="minMax"/>
        </c:scaling>
        <c:delete val="1"/>
        <c:axPos val="b"/>
        <c:numFmt formatCode="0.00%" sourceLinked="1"/>
        <c:majorTickMark val="out"/>
        <c:minorTickMark val="none"/>
        <c:tickLblPos val="nextTo"/>
        <c:crossAx val="952313104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9525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5AFE96-7D13-4441-9DB3-03147D557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963.779272453707" backgroundQuery="1" createdVersion="8" refreshedVersion="8" minRefreshableVersion="3" recordCount="36" xr:uid="{FC2CBC51-F0AD-4F14-9406-E529F91FB8BD}">
  <cacheSource type="external" connectionId="3"/>
  <cacheFields count="17">
    <cacheField name="Month_Index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_Start" numFmtId="0">
      <sharedItems containsSemiMixedTypes="0" containsNonDate="0" containsDate="1" containsString="0" minDate="2025-01-01T00:00:00" maxDate="2025-12-02T00:00:00" count="12"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</sharedItems>
    </cacheField>
    <cacheField name="Occupied" numFmtId="0">
      <sharedItems containsSemiMixedTypes="0" containsString="0" containsNumber="1" containsInteger="1" minValue="0" maxValue="1" count="2">
        <n v="0"/>
        <n v="1"/>
      </sharedItems>
    </cacheField>
    <cacheField name="FreeRent" numFmtId="0">
      <sharedItems containsSemiMixedTypes="0" containsString="0" containsNumber="1" containsInteger="1" minValue="0" maxValue="1" count="2">
        <n v="0"/>
        <n v="1"/>
      </sharedItems>
    </cacheField>
    <cacheField name="Rent_psf_pa" numFmtId="0">
      <sharedItems containsSemiMixedTypes="0" containsString="0" containsNumber="1" minValue="50" maxValue="52.286976385931027" count="23">
        <n v="50"/>
        <n v="50.203706189182419"/>
        <n v="50.408242302595049"/>
        <n v="50.613611721451967"/>
        <n v="50.819817840742672"/>
        <n v="51.026864069288315"/>
        <n v="51.234753829797995"/>
        <n v="51.44349055892534"/>
        <n v="51.653077707325345"/>
        <n v="51.863518739711388"/>
        <n v="52.074817134912543"/>
        <n v="52.286976385931027"/>
        <n v="50.123313488615182"/>
        <n v="50.246931101559845"/>
        <n v="50.370853588886646"/>
        <n v="50.495081702498048"/>
        <n v="50.619616196150915"/>
        <n v="50.744457825461097"/>
        <n v="50.869607347907966"/>
        <n v="50.99506552283907"/>
        <n v="51.120833111474681"/>
        <n v="51.246910876912487"/>
        <n v="51.373299584132162"/>
      </sharedItems>
    </cacheField>
    <cacheField name="Base_Rent" numFmtId="0">
      <sharedItems containsSemiMixedTypes="0" containsString="0" containsNumber="1" minValue="0" maxValue="43572.48032160919" count="22">
        <n v="0"/>
        <n v="42006.868585495868"/>
        <n v="42178.00976787664"/>
        <n v="42349.848200618893"/>
        <n v="42522.386724406926"/>
        <n v="42695.628191498326"/>
        <n v="42869.575465771115"/>
        <n v="43044.231422771118"/>
        <n v="43219.598949759493"/>
        <n v="43395.680945760454"/>
        <n v="43572.48032160919"/>
        <n v="41872.442584633209"/>
        <n v="41975.711324072203"/>
        <n v="42079.234752081706"/>
        <n v="42183.013496792431"/>
        <n v="42287.048187884247"/>
        <n v="42391.339456589973"/>
        <n v="42495.887935699226"/>
        <n v="42600.694259562239"/>
        <n v="42705.759064093741"/>
        <n v="42811.082986776804"/>
        <n v="41666.666666666672"/>
      </sharedItems>
    </cacheField>
    <cacheField name="Expense_psf_pa" numFmtId="0">
      <sharedItems containsSemiMixedTypes="0" containsString="0" containsNumber="1" minValue="12" maxValue="12.384445511245289"/>
    </cacheField>
    <cacheField name="OpEx" numFmtId="0">
      <sharedItems containsSemiMixedTypes="0" containsString="0" containsNumber="1" minValue="10000" maxValue="10320.371259371075"/>
    </cacheField>
    <cacheField name="Recoveries" numFmtId="0">
      <sharedItems containsSemiMixedTypes="0" containsString="0" containsNumber="1" minValue="0" maxValue="9123.6730719522711"/>
    </cacheField>
    <cacheField name="Bad_Debt" numFmtId="0">
      <sharedItems containsSemiMixedTypes="0" containsString="0" containsNumber="1" minValue="-977.81853096452846" maxValue="0"/>
    </cacheField>
    <cacheField name="NOI_pre_Amort" numFmtId="0">
      <sharedItems containsSemiMixedTypes="0" containsString="0" containsNumber="1" minValue="-10028.708987190766" maxValue="42295.258102202242"/>
    </cacheField>
    <cacheField name="TI_Amort" numFmtId="0">
      <sharedItems containsSemiMixedTypes="0" containsString="0" containsNumber="1" minValue="-3333.3333333333335" maxValue="-3333.3333333333335" count="1">
        <n v="-3333.3333333333335"/>
      </sharedItems>
    </cacheField>
    <cacheField name="LC_Amort" numFmtId="0">
      <sharedItems containsSemiMixedTypes="0" containsString="0" containsNumber="1" minValue="-2048.6111111111113" maxValue="-2048.6111111111113" count="1">
        <n v="-2048.6111111111113"/>
      </sharedItems>
    </cacheField>
    <cacheField name="NOI" numFmtId="0">
      <sharedItems containsSemiMixedTypes="0" containsString="0" containsNumber="1" minValue="-15410.653431635212" maxValue="36913.313657757797"/>
    </cacheField>
    <cacheField name="Interest_Expense" numFmtId="0">
      <sharedItems containsSemiMixedTypes="0" containsString="0" containsNumber="1" minValue="-28125" maxValue="-26041.666666666668" count="2">
        <n v="-26041.666666666668"/>
        <n v="-28125"/>
      </sharedItems>
    </cacheField>
    <cacheField name="AFFO" numFmtId="0">
      <sharedItems containsSemiMixedTypes="0" containsString="0" containsNumber="1" minValue="-43535.653431635212" maxValue="10871.646991091129"/>
    </cacheField>
    <cacheField name="Scenario" numFmtId="0">
      <sharedItems count="3">
        <s v="CF_Upside"/>
        <s v="CF_Base"/>
        <s v="CF_Downsid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x v="0"/>
    <x v="0"/>
    <x v="0"/>
    <n v="12"/>
    <n v="10000"/>
    <n v="0"/>
    <n v="0"/>
    <n v="-10000"/>
    <x v="0"/>
    <x v="0"/>
    <n v="-15381.944444444445"/>
    <x v="0"/>
    <n v="-41423.611111111109"/>
    <x v="0"/>
  </r>
  <r>
    <x v="1"/>
    <x v="1"/>
    <x v="1"/>
    <x v="1"/>
    <x v="1"/>
    <x v="0"/>
    <n v="12.014897852597391"/>
    <n v="10012.414877164492"/>
    <n v="9011.173389448044"/>
    <n v="-45.055866947240219"/>
    <n v="-1046.2973546636877"/>
    <x v="0"/>
    <x v="0"/>
    <n v="-6428.2417991081329"/>
    <x v="0"/>
    <n v="-32469.908465774803"/>
    <x v="0"/>
  </r>
  <r>
    <x v="2"/>
    <x v="2"/>
    <x v="1"/>
    <x v="0"/>
    <x v="2"/>
    <x v="1"/>
    <n v="12.029814200695785"/>
    <n v="10024.845167246487"/>
    <n v="9022.3606505218395"/>
    <n v="-255.14614618008855"/>
    <n v="40749.237922591135"/>
    <x v="0"/>
    <x v="0"/>
    <n v="35367.29347814669"/>
    <x v="0"/>
    <n v="9325.6268114800223"/>
    <x v="0"/>
  </r>
  <r>
    <x v="3"/>
    <x v="3"/>
    <x v="1"/>
    <x v="0"/>
    <x v="3"/>
    <x v="2"/>
    <n v="12.044749067257115"/>
    <n v="10037.290889380929"/>
    <n v="9033.5618004428361"/>
    <n v="-256.05785784159735"/>
    <n v="40918.222821096948"/>
    <x v="0"/>
    <x v="0"/>
    <n v="35536.278376652503"/>
    <x v="0"/>
    <n v="9494.6117099858348"/>
    <x v="0"/>
  </r>
  <r>
    <x v="4"/>
    <x v="4"/>
    <x v="1"/>
    <x v="0"/>
    <x v="4"/>
    <x v="3"/>
    <n v="12.05970247527183"/>
    <n v="10049.752062726524"/>
    <n v="9044.776856453871"/>
    <n v="-256.97312528536384"/>
    <n v="41087.899869060871"/>
    <x v="0"/>
    <x v="0"/>
    <n v="35705.955424616426"/>
    <x v="0"/>
    <n v="9664.2887579497583"/>
    <x v="0"/>
  </r>
  <r>
    <x v="5"/>
    <x v="5"/>
    <x v="1"/>
    <x v="0"/>
    <x v="5"/>
    <x v="4"/>
    <n v="12.074674447758913"/>
    <n v="10062.228706465761"/>
    <n v="9056.0058358191854"/>
    <n v="-257.8919628011306"/>
    <n v="41258.271890959222"/>
    <x v="0"/>
    <x v="0"/>
    <n v="35876.327446514777"/>
    <x v="0"/>
    <n v="9834.6607798481091"/>
    <x v="0"/>
  </r>
  <r>
    <x v="6"/>
    <x v="6"/>
    <x v="1"/>
    <x v="0"/>
    <x v="6"/>
    <x v="5"/>
    <n v="12.08966500776593"/>
    <n v="10074.720839804942"/>
    <n v="9067.2487558244484"/>
    <n v="-258.81438473661387"/>
    <n v="41429.341722781217"/>
    <x v="0"/>
    <x v="0"/>
    <n v="36047.397278336772"/>
    <x v="0"/>
    <n v="10005.730611670104"/>
    <x v="0"/>
  </r>
  <r>
    <x v="7"/>
    <x v="7"/>
    <x v="1"/>
    <x v="0"/>
    <x v="7"/>
    <x v="6"/>
    <n v="12.104674178369059"/>
    <n v="10087.228481974214"/>
    <n v="9078.5056337767928"/>
    <n v="-259.74040549773957"/>
    <n v="41601.112212075961"/>
    <x v="0"/>
    <x v="0"/>
    <n v="36219.167767631516"/>
    <x v="0"/>
    <n v="10177.501100964848"/>
    <x v="0"/>
  </r>
  <r>
    <x v="8"/>
    <x v="8"/>
    <x v="1"/>
    <x v="0"/>
    <x v="8"/>
    <x v="7"/>
    <n v="12.119701982673124"/>
    <n v="10099.751652227604"/>
    <n v="9089.7764870048431"/>
    <n v="-260.6700395488798"/>
    <n v="41773.586217999473"/>
    <x v="0"/>
    <x v="0"/>
    <n v="36391.641773555028"/>
    <x v="0"/>
    <n v="10349.97510688836"/>
    <x v="0"/>
  </r>
  <r>
    <x v="9"/>
    <x v="9"/>
    <x v="1"/>
    <x v="0"/>
    <x v="9"/>
    <x v="8"/>
    <n v="12.13474844381164"/>
    <n v="10112.290369843033"/>
    <n v="9101.0613328587297"/>
    <n v="-261.60330141309112"/>
    <n v="41946.766611362102"/>
    <x v="0"/>
    <x v="0"/>
    <n v="36564.822166917656"/>
    <x v="0"/>
    <n v="10523.155500250989"/>
    <x v="0"/>
  </r>
  <r>
    <x v="10"/>
    <x v="10"/>
    <x v="1"/>
    <x v="0"/>
    <x v="10"/>
    <x v="9"/>
    <n v="12.149813584946834"/>
    <n v="10124.844654122362"/>
    <n v="9112.3601887101267"/>
    <n v="-262.5402056723529"/>
    <n v="42120.656274675865"/>
    <x v="0"/>
    <x v="0"/>
    <n v="36738.711830231419"/>
    <x v="0"/>
    <n v="10697.045163564751"/>
    <x v="0"/>
  </r>
  <r>
    <x v="11"/>
    <x v="11"/>
    <x v="1"/>
    <x v="0"/>
    <x v="11"/>
    <x v="10"/>
    <n v="12.164897429269695"/>
    <n v="10137.414524391412"/>
    <n v="9123.6730719522711"/>
    <n v="-263.48076696780731"/>
    <n v="42295.258102202242"/>
    <x v="0"/>
    <x v="0"/>
    <n v="36913.313657757797"/>
    <x v="0"/>
    <n v="10871.646991091129"/>
    <x v="0"/>
  </r>
  <r>
    <x v="0"/>
    <x v="0"/>
    <x v="0"/>
    <x v="0"/>
    <x v="0"/>
    <x v="0"/>
    <n v="12"/>
    <n v="10000"/>
    <n v="0"/>
    <n v="0"/>
    <n v="-10000"/>
    <x v="0"/>
    <x v="0"/>
    <n v="-15381.944444444445"/>
    <x v="0"/>
    <n v="-41423.611111111109"/>
    <x v="1"/>
  </r>
  <r>
    <x v="1"/>
    <x v="1"/>
    <x v="1"/>
    <x v="1"/>
    <x v="12"/>
    <x v="0"/>
    <n v="12.024718035238113"/>
    <n v="10020.598362698427"/>
    <n v="8016.4786901587422"/>
    <n v="-80.164786901587419"/>
    <n v="-2084.2844594412727"/>
    <x v="0"/>
    <x v="0"/>
    <n v="-7466.228903885718"/>
    <x v="0"/>
    <n v="-33507.895570552384"/>
    <x v="1"/>
  </r>
  <r>
    <x v="2"/>
    <x v="2"/>
    <x v="1"/>
    <x v="0"/>
    <x v="13"/>
    <x v="11"/>
    <n v="12.04948698558173"/>
    <n v="10041.239154651443"/>
    <n v="8032.9913237211549"/>
    <n v="-499.0543390835436"/>
    <n v="39365.140414619374"/>
    <x v="0"/>
    <x v="0"/>
    <n v="33983.195970174929"/>
    <x v="0"/>
    <n v="7941.5293035082614"/>
    <x v="1"/>
  </r>
  <r>
    <x v="3"/>
    <x v="3"/>
    <x v="1"/>
    <x v="0"/>
    <x v="14"/>
    <x v="12"/>
    <n v="12.074306955907634"/>
    <n v="10061.92246325636"/>
    <n v="8049.537970605088"/>
    <n v="-500.25249294677292"/>
    <n v="39463.074338474151"/>
    <x v="0"/>
    <x v="0"/>
    <n v="34081.129894029706"/>
    <x v="0"/>
    <n v="8039.4632273630377"/>
    <x v="1"/>
  </r>
  <r>
    <x v="4"/>
    <x v="4"/>
    <x v="1"/>
    <x v="0"/>
    <x v="15"/>
    <x v="13"/>
    <n v="12.099178051308627"/>
    <n v="10082.648376090521"/>
    <n v="8066.1187008724173"/>
    <n v="-501.45353452954123"/>
    <n v="39561.251542334052"/>
    <x v="0"/>
    <x v="0"/>
    <n v="34179.307097889607"/>
    <x v="0"/>
    <n v="8137.6404312229388"/>
    <x v="1"/>
  </r>
  <r>
    <x v="5"/>
    <x v="5"/>
    <x v="1"/>
    <x v="0"/>
    <x v="16"/>
    <x v="14"/>
    <n v="12.124100377093999"/>
    <n v="10103.416980911667"/>
    <n v="8082.7335847293334"/>
    <n v="-502.65747081521766"/>
    <n v="39659.672629794884"/>
    <x v="0"/>
    <x v="0"/>
    <n v="34277.728185350439"/>
    <x v="0"/>
    <n v="8236.0615186837713"/>
    <x v="1"/>
  </r>
  <r>
    <x v="6"/>
    <x v="6"/>
    <x v="1"/>
    <x v="0"/>
    <x v="17"/>
    <x v="15"/>
    <n v="12.149074038789951"/>
    <n v="10124.228365658291"/>
    <n v="8099.382692526633"/>
    <n v="-503.86430880410882"/>
    <n v="39758.338205948487"/>
    <x v="0"/>
    <x v="0"/>
    <n v="34376.393761504041"/>
    <x v="0"/>
    <n v="8334.7270948373734"/>
    <x v="1"/>
  </r>
  <r>
    <x v="7"/>
    <x v="7"/>
    <x v="1"/>
    <x v="0"/>
    <x v="18"/>
    <x v="16"/>
    <n v="12.174099142140058"/>
    <n v="10145.082618450047"/>
    <n v="8116.0660947600381"/>
    <n v="-505.07405551350013"/>
    <n v="39857.248877386468"/>
    <x v="0"/>
    <x v="0"/>
    <n v="34475.304432942023"/>
    <x v="0"/>
    <n v="8433.6377662753548"/>
    <x v="1"/>
  </r>
  <r>
    <x v="8"/>
    <x v="8"/>
    <x v="1"/>
    <x v="0"/>
    <x v="19"/>
    <x v="17"/>
    <n v="12.199175793105699"/>
    <n v="10165.979827588084"/>
    <n v="8132.7838620704679"/>
    <n v="-506.28671797769698"/>
    <n v="39956.40525220392"/>
    <x v="0"/>
    <x v="0"/>
    <n v="34574.460807759475"/>
    <x v="0"/>
    <n v="8532.794141092807"/>
    <x v="1"/>
  </r>
  <r>
    <x v="9"/>
    <x v="9"/>
    <x v="1"/>
    <x v="0"/>
    <x v="20"/>
    <x v="18"/>
    <n v="12.224304097866527"/>
    <n v="10186.92008155544"/>
    <n v="8149.5360652443524"/>
    <n v="-507.50230324806586"/>
    <n v="40055.807940003084"/>
    <x v="0"/>
    <x v="0"/>
    <n v="34673.863495558639"/>
    <x v="0"/>
    <n v="8632.1968288919707"/>
    <x v="1"/>
  </r>
  <r>
    <x v="10"/>
    <x v="10"/>
    <x v="1"/>
    <x v="0"/>
    <x v="21"/>
    <x v="19"/>
    <n v="12.249484162820902"/>
    <n v="10207.903469017419"/>
    <n v="8166.3227752139355"/>
    <n v="-508.7208183930768"/>
    <n v="40155.457551897183"/>
    <x v="0"/>
    <x v="0"/>
    <n v="34773.513107452738"/>
    <x v="0"/>
    <n v="8731.8464407860702"/>
    <x v="1"/>
  </r>
  <r>
    <x v="11"/>
    <x v="11"/>
    <x v="1"/>
    <x v="0"/>
    <x v="22"/>
    <x v="20"/>
    <n v="12.274716094586347"/>
    <n v="10228.930078821955"/>
    <n v="8183.1440630575644"/>
    <n v="-509.9422704983437"/>
    <n v="40255.354700514072"/>
    <x v="0"/>
    <x v="0"/>
    <n v="34873.410256069626"/>
    <x v="0"/>
    <n v="8831.7435894029586"/>
    <x v="1"/>
  </r>
  <r>
    <x v="0"/>
    <x v="0"/>
    <x v="0"/>
    <x v="0"/>
    <x v="0"/>
    <x v="0"/>
    <n v="12"/>
    <n v="10000"/>
    <n v="0"/>
    <n v="0"/>
    <n v="-10000"/>
    <x v="0"/>
    <x v="0"/>
    <n v="-15381.944444444445"/>
    <x v="1"/>
    <n v="-43506.944444444445"/>
    <x v="2"/>
  </r>
  <r>
    <x v="1"/>
    <x v="1"/>
    <x v="0"/>
    <x v="0"/>
    <x v="0"/>
    <x v="0"/>
    <n v="12.03445078462892"/>
    <n v="10028.708987190766"/>
    <n v="0"/>
    <n v="0"/>
    <n v="-10028.708987190766"/>
    <x v="0"/>
    <x v="0"/>
    <n v="-15410.653431635212"/>
    <x v="1"/>
    <n v="-43535.653431635212"/>
    <x v="2"/>
  </r>
  <r>
    <x v="2"/>
    <x v="2"/>
    <x v="1"/>
    <x v="1"/>
    <x v="0"/>
    <x v="0"/>
    <n v="12.0690004739713"/>
    <n v="10057.500394976085"/>
    <n v="7040.2502764832589"/>
    <n v="-140.80500552966518"/>
    <n v="-3158.0551240224913"/>
    <x v="0"/>
    <x v="0"/>
    <n v="-8539.9995684669357"/>
    <x v="1"/>
    <n v="-36664.999568466934"/>
    <x v="2"/>
  </r>
  <r>
    <x v="3"/>
    <x v="3"/>
    <x v="1"/>
    <x v="0"/>
    <x v="0"/>
    <x v="21"/>
    <n v="12.10364935197256"/>
    <n v="10086.374459977134"/>
    <n v="7060.4621219839937"/>
    <n v="-974.54257577301325"/>
    <n v="37666.211752900519"/>
    <x v="0"/>
    <x v="0"/>
    <n v="32284.267308456074"/>
    <x v="1"/>
    <n v="4159.2673084560738"/>
    <x v="2"/>
  </r>
  <r>
    <x v="4"/>
    <x v="4"/>
    <x v="1"/>
    <x v="0"/>
    <x v="0"/>
    <x v="21"/>
    <n v="12.138397703393291"/>
    <n v="10115.331419494409"/>
    <n v="7080.7319936460854"/>
    <n v="-974.94797320625514"/>
    <n v="37657.119267612092"/>
    <x v="0"/>
    <x v="0"/>
    <n v="32275.174823167647"/>
    <x v="1"/>
    <n v="4150.1748231676465"/>
    <x v="2"/>
  </r>
  <r>
    <x v="5"/>
    <x v="5"/>
    <x v="1"/>
    <x v="0"/>
    <x v="0"/>
    <x v="21"/>
    <n v="12.173245813811604"/>
    <n v="10144.371511509671"/>
    <n v="7101.0600580567698"/>
    <n v="-975.35453449446879"/>
    <n v="37648.000678719298"/>
    <x v="0"/>
    <x v="0"/>
    <n v="32266.056234274853"/>
    <x v="1"/>
    <n v="4141.0562342748526"/>
    <x v="2"/>
  </r>
  <r>
    <x v="6"/>
    <x v="6"/>
    <x v="1"/>
    <x v="0"/>
    <x v="0"/>
    <x v="21"/>
    <n v="12.208193969625484"/>
    <n v="10173.494974687903"/>
    <n v="7121.4464822815316"/>
    <n v="-975.76226297896415"/>
    <n v="37638.855911281338"/>
    <x v="0"/>
    <x v="0"/>
    <n v="32256.911466836893"/>
    <x v="1"/>
    <n v="4131.9114668368929"/>
    <x v="2"/>
  </r>
  <r>
    <x v="7"/>
    <x v="7"/>
    <x v="1"/>
    <x v="0"/>
    <x v="0"/>
    <x v="21"/>
    <n v="12.24324245805512"/>
    <n v="10202.702048379266"/>
    <n v="7141.8914338654859"/>
    <n v="-976.17116201064323"/>
    <n v="37629.684890142249"/>
    <x v="0"/>
    <x v="0"/>
    <n v="32247.740445697804"/>
    <x v="1"/>
    <n v="4122.7404456978038"/>
    <x v="2"/>
  </r>
  <r>
    <x v="8"/>
    <x v="8"/>
    <x v="1"/>
    <x v="0"/>
    <x v="0"/>
    <x v="21"/>
    <n v="12.278391567145293"/>
    <n v="10231.992972621078"/>
    <n v="7162.3950808347536"/>
    <n v="-976.58123495002849"/>
    <n v="37620.48753993032"/>
    <x v="0"/>
    <x v="0"/>
    <n v="32238.543095485875"/>
    <x v="1"/>
    <n v="4113.5430954858748"/>
    <x v="2"/>
  </r>
  <r>
    <x v="9"/>
    <x v="9"/>
    <x v="1"/>
    <x v="0"/>
    <x v="0"/>
    <x v="21"/>
    <n v="12.313641585767733"/>
    <n v="10261.367988139778"/>
    <n v="7182.9575916978447"/>
    <n v="-976.99248516729028"/>
    <n v="37611.263785057447"/>
    <x v="0"/>
    <x v="0"/>
    <n v="32229.319340613001"/>
    <x v="1"/>
    <n v="4104.3193406130013"/>
    <x v="2"/>
  </r>
  <r>
    <x v="10"/>
    <x v="10"/>
    <x v="1"/>
    <x v="0"/>
    <x v="0"/>
    <x v="21"/>
    <n v="12.348992803623482"/>
    <n v="10290.827336352901"/>
    <n v="7203.5791354470302"/>
    <n v="-977.40491604227395"/>
    <n v="37602.013549718526"/>
    <x v="0"/>
    <x v="0"/>
    <n v="32220.06910527408"/>
    <x v="1"/>
    <n v="4095.0691052740804"/>
    <x v="2"/>
  </r>
  <r>
    <x v="11"/>
    <x v="11"/>
    <x v="1"/>
    <x v="0"/>
    <x v="0"/>
    <x v="21"/>
    <n v="12.384445511245289"/>
    <n v="10320.371259371075"/>
    <n v="7224.2598815597521"/>
    <n v="-977.81853096452846"/>
    <n v="37592.736757890823"/>
    <x v="0"/>
    <x v="0"/>
    <n v="32210.792313446378"/>
    <x v="1"/>
    <n v="4085.7923134463781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F75B80-19C9-4D35-9FE3-50CBCF3015F4}" name="数据透视表2" cacheId="7" applyNumberFormats="0" applyBorderFormats="0" applyFontFormats="0" applyPatternFormats="0" applyAlignmentFormats="0" applyWidthHeightFormats="1" dataCaption="值" grandTotalCaption="Total" updatedVersion="8" minRefreshableVersion="3" useAutoFormatting="1" itemPrintTitles="1" createdVersion="8" indent="0" outline="1" outlineData="1" multipleFieldFilters="0" rowHeaderCaption="Scenario" fieldListSortAscending="1">
  <location ref="I4:L8" firstHeaderRow="0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dataField="1" showAll="0"/>
    <pivotField axis="axisRow" showAll="0">
      <items count="4">
        <item x="1"/>
        <item x="0"/>
        <item x="2"/>
        <item t="default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I_pre_Amort_" fld="10" baseField="0" baseItem="0"/>
    <dataField name="NOI_" fld="13" baseField="0" baseItem="0"/>
    <dataField name="AFFO_" fld="15" baseField="0" baseItem="0"/>
  </dataFields>
  <formats count="15"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16" type="button" dataOnly="0" labelOnly="1" outline="0" axis="axisRow" fieldPosition="0"/>
    </format>
    <format dxfId="12">
      <pivotArea dataOnly="0" labelOnly="1" fieldPosition="0">
        <references count="1">
          <reference field="16" count="0"/>
        </references>
      </pivotArea>
    </format>
    <format dxfId="11">
      <pivotArea dataOnly="0" labelOnly="1" grandRow="1" outline="0" fieldPosition="0"/>
    </format>
    <format dxfId="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">
      <pivotArea field="16" type="button" dataOnly="0" labelOnly="1" outline="0" axis="axisRow" fieldPosition="0"/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/>
    </format>
    <format dxfId="6">
      <pivotArea collapsedLevelsAreSubtotals="1" fieldPosition="0">
        <references count="1">
          <reference field="16" count="0"/>
        </references>
      </pivotArea>
    </format>
    <format dxfId="5">
      <pivotArea field="16" type="button" dataOnly="0" labelOnly="1" outline="0" axis="axisRow" fieldPosition="0"/>
    </format>
    <format dxfId="4">
      <pivotArea dataOnly="0" labelOnly="1" fieldPosition="0">
        <references count="1">
          <reference field="16" count="0"/>
        </references>
      </pivotArea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field="16" type="button" dataOnly="0" labelOnly="1" outline="0" axis="axisRow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F99B9A-D978-4761-9DAC-09FFD1F34730}" name="CF_Base" displayName="CF_Base" ref="A1:Q13" totalsRowShown="0" headerRowDxfId="72" dataDxfId="71">
  <autoFilter ref="A1:Q13" xr:uid="{05F99B9A-D978-4761-9DAC-09FFD1F34730}"/>
  <tableColumns count="17">
    <tableColumn id="1" xr3:uid="{B9DE46AC-36AE-4FA9-B5B3-5A5B2066E30E}" name="Month_Index" dataDxfId="70">
      <calculatedColumnFormula>Timeline!A2</calculatedColumnFormula>
    </tableColumn>
    <tableColumn id="2" xr3:uid="{9695BAE9-3A24-423C-986E-2BD7825E91F4}" name="Month_Start" dataDxfId="69">
      <calculatedColumnFormula>Timeline!B2</calculatedColumnFormula>
    </tableColumn>
    <tableColumn id="3" xr3:uid="{1A901E3E-B5EA-4AD1-8761-F9D5A9E0B1F6}" name="Occupied" dataDxfId="68"/>
    <tableColumn id="4" xr3:uid="{71B76FF0-2932-4373-83A5-0DDA19D75A62}" name="FreeRent" dataDxfId="67"/>
    <tableColumn id="5" xr3:uid="{29E46E77-B85D-4990-8AB4-87189735C25C}" name="Rent_psf_pa" dataDxfId="66"/>
    <tableColumn id="6" xr3:uid="{5A354215-3BFA-4983-8F91-B628D8F9E9BD}" name="Base_Rent" dataDxfId="65"/>
    <tableColumn id="7" xr3:uid="{B945D4C7-83C0-44D8-ACB2-CEB55E906302}" name="Expense_psf_pa" dataDxfId="64"/>
    <tableColumn id="8" xr3:uid="{45198E23-C759-4372-B82F-EE6D6F32C8D5}" name="OpEx" dataDxfId="63"/>
    <tableColumn id="9" xr3:uid="{3D93F44C-0957-46E0-8138-826AC80EF523}" name="Recoveries" dataDxfId="62"/>
    <tableColumn id="10" xr3:uid="{0467E8F6-4FE4-43FD-91DB-08C1DCD0B0DB}" name="Bad_Debt" dataDxfId="61"/>
    <tableColumn id="11" xr3:uid="{BC40CF46-A959-4164-B24C-CF233D0BCB21}" name="NOI_pre_Amort" dataDxfId="60"/>
    <tableColumn id="12" xr3:uid="{6B5553FD-B338-4B5E-9EE7-1CAC92EAEDED}" name="TI_Amort" dataDxfId="59"/>
    <tableColumn id="13" xr3:uid="{7964CE55-3954-4B26-925F-0BC76842A2EC}" name="LC_Amort" dataDxfId="58"/>
    <tableColumn id="14" xr3:uid="{B0C81357-AAEF-4131-9878-7FC3ED3C508E}" name="NOI" dataDxfId="57"/>
    <tableColumn id="15" xr3:uid="{37F5616A-EEE8-432E-BAA7-A461983EB027}" name="Interest_Expense" dataDxfId="56"/>
    <tableColumn id="16" xr3:uid="{E76E1A28-65DF-4C66-B9C0-50BEFE765177}" name="AFFO" dataDxfId="55"/>
    <tableColumn id="17" xr3:uid="{CE5CC344-5B6F-49EA-8CBB-4653B5005D9B}" name="Scenario" dataDxfId="54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1D1E2B-F827-4C06-A0C5-0DD44DF001B3}" name="CF_Upside" displayName="CF_Upside" ref="A1:Q13" totalsRowShown="0" headerRowDxfId="53" dataDxfId="52">
  <autoFilter ref="A1:Q13" xr:uid="{221D1E2B-F827-4C06-A0C5-0DD44DF001B3}"/>
  <tableColumns count="17">
    <tableColumn id="1" xr3:uid="{1DF7E246-B7EF-4918-B8AC-118689389B64}" name="Month_Index" dataDxfId="51">
      <calculatedColumnFormula>Timeline!A2</calculatedColumnFormula>
    </tableColumn>
    <tableColumn id="2" xr3:uid="{80DAAE3F-C956-4CE0-AD9E-E7D1B6C645FB}" name="Month_Start" dataDxfId="50">
      <calculatedColumnFormula>Timeline!B2</calculatedColumnFormula>
    </tableColumn>
    <tableColumn id="3" xr3:uid="{6CC4A691-278B-4181-99E7-9A769C603126}" name="Occupied" dataDxfId="49"/>
    <tableColumn id="4" xr3:uid="{24366A4E-93A4-4119-A794-DC5E4DA96465}" name="FreeRent" dataDxfId="48"/>
    <tableColumn id="5" xr3:uid="{DDADC5D7-D5EB-466E-86C5-DB07EFD42A86}" name="Rent_psf_pa" dataDxfId="47"/>
    <tableColumn id="6" xr3:uid="{FE8E0545-E9B7-42AB-AC0C-F7361F0E04E6}" name="Base_Rent" dataDxfId="46"/>
    <tableColumn id="7" xr3:uid="{99D018BD-5A8E-4A79-BDBF-1A8BBCF1E5ED}" name="Expense_psf_pa" dataDxfId="45"/>
    <tableColumn id="8" xr3:uid="{2184E364-552B-4FC6-AD43-E672686050FF}" name="OpEx" dataDxfId="44"/>
    <tableColumn id="9" xr3:uid="{98C2C137-9E4D-4407-A76E-42143B5D0A9C}" name="Recoveries" dataDxfId="43"/>
    <tableColumn id="10" xr3:uid="{26984042-77B0-4D6F-A069-DC89D3F061A6}" name="Bad_Debt" dataDxfId="42"/>
    <tableColumn id="11" xr3:uid="{C45C1ABA-0E57-4A54-AB86-E780BC167CBF}" name="NOI_pre_Amort" dataDxfId="41"/>
    <tableColumn id="12" xr3:uid="{76E46992-898E-412D-8071-FC66DD470E1C}" name="TI_Amort" dataDxfId="40"/>
    <tableColumn id="13" xr3:uid="{B6277105-3DD6-4BDF-B4F1-13A03B50F88B}" name="LC_Amort" dataDxfId="39"/>
    <tableColumn id="14" xr3:uid="{954AE412-61F3-4257-ACBE-0D2EB9B34D98}" name="NOI" dataDxfId="38"/>
    <tableColumn id="15" xr3:uid="{7A7D7F2D-9DCB-4D92-A9CD-ADC70E8673DA}" name="Interest_Expense" dataDxfId="37"/>
    <tableColumn id="16" xr3:uid="{71966E9B-12C5-4352-99B0-BB899DE5851C}" name="AFFO" dataDxfId="36"/>
    <tableColumn id="17" xr3:uid="{17C03B40-09CA-495D-9B3A-0FC708A0FEDE}" name="Scenario" dataDxfId="3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867E39-BF43-4394-86BB-2AE8975AF0E3}" name="CF_Downside" displayName="CF_Downside" ref="A1:Q13" totalsRowShown="0" headerRowDxfId="34" dataDxfId="33">
  <autoFilter ref="A1:Q13" xr:uid="{B1867E39-BF43-4394-86BB-2AE8975AF0E3}"/>
  <tableColumns count="17">
    <tableColumn id="1" xr3:uid="{D55ACA3C-FDD0-4D04-8314-92D62792AD23}" name="Month_Index" dataDxfId="32">
      <calculatedColumnFormula>Timeline!A2</calculatedColumnFormula>
    </tableColumn>
    <tableColumn id="2" xr3:uid="{AD5592D2-45E5-4E3F-9A9D-ED7700308B15}" name="Month_Start" dataDxfId="31">
      <calculatedColumnFormula>Timeline!B2</calculatedColumnFormula>
    </tableColumn>
    <tableColumn id="3" xr3:uid="{C64A4F19-832F-44F7-9313-1D215AE31B51}" name="Occupied" dataDxfId="30">
      <calculatedColumnFormula>IF(AND(A2&gt;=Inputs!$C$10+1,A2&lt;=Inputs!$C$10+Inputs!$C$9),1,0)</calculatedColumnFormula>
    </tableColumn>
    <tableColumn id="4" xr3:uid="{5E54CF26-04C6-4449-A4D3-064E5171AA63}" name="FreeRent" dataDxfId="29">
      <calculatedColumnFormula>IF(AND(A2&gt;=Inputs!$C$10+1,A2&lt;=Inputs!$C$10+Inputs!$C$8),1,0)</calculatedColumnFormula>
    </tableColumn>
    <tableColumn id="5" xr3:uid="{4595C41A-4510-4CA6-A121-85204003E889}" name="Rent_psf_pa" dataDxfId="28">
      <calculatedColumnFormula>Inputs!$C$6*POWER(1+Inputs!$C$7, (A2-1)/12)</calculatedColumnFormula>
    </tableColumn>
    <tableColumn id="6" xr3:uid="{5772E87E-B216-4041-87EC-02137B387841}" name="Base_Rent" dataDxfId="27">
      <calculatedColumnFormula>C2*(1-D2)*(E2/12)*Inputs!$C$5</calculatedColumnFormula>
    </tableColumn>
    <tableColumn id="7" xr3:uid="{E83CD81C-430F-456A-8FAE-A18551F614A5}" name="Expense_psf_pa" dataDxfId="26">
      <calculatedColumnFormula>Inputs!$C$11*POWER(1+Inputs!$C$12, (A2-1)/12)</calculatedColumnFormula>
    </tableColumn>
    <tableColumn id="8" xr3:uid="{EF327207-FAB3-443A-B57B-0E6CC7A25871}" name="OpEx" dataDxfId="25">
      <calculatedColumnFormula>(G2/12)*Inputs!$C$5</calculatedColumnFormula>
    </tableColumn>
    <tableColumn id="9" xr3:uid="{1932BD34-C6C1-48E1-8B3E-1DBD8447D840}" name="Recoveries" dataDxfId="24">
      <calculatedColumnFormula>C2*Inputs!$C$13*H2</calculatedColumnFormula>
    </tableColumn>
    <tableColumn id="10" xr3:uid="{132D7176-245B-4D5A-9844-DD16B95A8018}" name="Bad_Debt" dataDxfId="23">
      <calculatedColumnFormula>-(F2+I2)*Inputs!$C$14</calculatedColumnFormula>
    </tableColumn>
    <tableColumn id="11" xr3:uid="{82A5B13E-D172-4C47-BC0D-4812C5B1FECA}" name="NOI_pre_Amort" dataDxfId="22">
      <calculatedColumnFormula>F2+I2+J2-H2</calculatedColumnFormula>
    </tableColumn>
    <tableColumn id="12" xr3:uid="{E50984CE-D093-4983-AEAB-D78541A6C746}" name="TI_Amort" dataDxfId="21">
      <calculatedColumnFormula>IF(A2&lt;=Inputs!$C$17*12,-(Inputs!$C$15*Inputs!$C$5)/(Inputs!$C$17*12),0)</calculatedColumnFormula>
    </tableColumn>
    <tableColumn id="13" xr3:uid="{AEECA8AE-B56D-4576-AB94-F97BB563B10B}" name="LC_Amort" dataDxfId="20">
      <calculatedColumnFormula>IF(A2&lt;=Inputs!$C$18*12,-(Inputs!$C$16*((Inputs!$C$6/12)*Inputs!$C$5*(Inputs!$C$9-Inputs!$C$8)))/(Inputs!$C$18*12),0)</calculatedColumnFormula>
    </tableColumn>
    <tableColumn id="14" xr3:uid="{B7DD5B88-8593-42B6-BDBE-9BFC003816D0}" name="NOI" dataDxfId="19">
      <calculatedColumnFormula>K2+L2+M2</calculatedColumnFormula>
    </tableColumn>
    <tableColumn id="15" xr3:uid="{32437631-C114-4F1F-AD69-A0F1333CB359}" name="Interest_Expense" dataDxfId="18">
      <calculatedColumnFormula>-( Inputs!$C$19*( Inputs!$C$22*Inputs!$C$23 + (1-Inputs!$C$22)*(Inputs!$C$20+Inputs!$C$21) ) )/12</calculatedColumnFormula>
    </tableColumn>
    <tableColumn id="16" xr3:uid="{3795D844-D51B-40B8-833E-94C95C32CFBD}" name="AFFO" dataDxfId="17">
      <calculatedColumnFormula>N2+O2</calculatedColumnFormula>
    </tableColumn>
    <tableColumn id="17" xr3:uid="{9345E988-42E1-4042-82E9-19271A71BCE8}" name="Scenario" dataDxfId="1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930CD-7317-4425-9399-4063FE3DCB10}">
  <dimension ref="A1:C23"/>
  <sheetViews>
    <sheetView tabSelected="1" zoomScaleNormal="100" workbookViewId="0">
      <selection activeCell="F17" sqref="F17"/>
    </sheetView>
  </sheetViews>
  <sheetFormatPr defaultRowHeight="14.25"/>
  <cols>
    <col min="1" max="1" width="23.86328125" style="1" bestFit="1" customWidth="1"/>
    <col min="2" max="2" width="24" style="1" hidden="1" customWidth="1"/>
    <col min="3" max="3" width="12.19921875" style="1" bestFit="1" customWidth="1"/>
    <col min="4" max="13" width="9.06640625" style="1"/>
    <col min="14" max="17" width="11.59765625" style="1" customWidth="1"/>
    <col min="18" max="16384" width="9.06640625" style="1"/>
  </cols>
  <sheetData>
    <row r="1" spans="1:3" ht="14.65">
      <c r="A1" s="3" t="s">
        <v>0</v>
      </c>
      <c r="B1" s="3" t="s">
        <v>55</v>
      </c>
      <c r="C1" s="3"/>
    </row>
    <row r="2" spans="1:3" ht="14.65">
      <c r="A2" s="1" t="s">
        <v>1</v>
      </c>
      <c r="B2" s="1" t="s">
        <v>56</v>
      </c>
      <c r="C2" s="1" t="s">
        <v>2</v>
      </c>
    </row>
    <row r="3" spans="1:3" ht="14.65">
      <c r="A3" s="1" t="s">
        <v>3</v>
      </c>
      <c r="B3" s="1" t="s">
        <v>57</v>
      </c>
      <c r="C3" s="2">
        <v>45658</v>
      </c>
    </row>
    <row r="4" spans="1:3" ht="14.65">
      <c r="A4" s="1" t="s">
        <v>4</v>
      </c>
      <c r="B4" s="1" t="s">
        <v>58</v>
      </c>
      <c r="C4" s="1">
        <v>12</v>
      </c>
    </row>
    <row r="5" spans="1:3" ht="14.65">
      <c r="A5" s="14" t="s">
        <v>5</v>
      </c>
      <c r="B5" s="14" t="s">
        <v>59</v>
      </c>
      <c r="C5" s="18">
        <v>10000</v>
      </c>
    </row>
    <row r="6" spans="1:3" ht="14.65">
      <c r="A6" s="14" t="s">
        <v>6</v>
      </c>
      <c r="B6" s="14" t="s">
        <v>60</v>
      </c>
      <c r="C6" s="14">
        <v>50</v>
      </c>
    </row>
    <row r="7" spans="1:3" ht="14.65">
      <c r="A7" s="14" t="s">
        <v>7</v>
      </c>
      <c r="B7" s="14" t="s">
        <v>61</v>
      </c>
      <c r="C7" s="15">
        <f>_xlfn.XLOOKUP('3-Scen + 4-Sens'!$B$2,'3-Scen + 4-Sens'!$B$4:$B$7,'3-Scen + 4-Sens'!$C$4:$C$7)</f>
        <v>0.05</v>
      </c>
    </row>
    <row r="8" spans="1:3" ht="14.65">
      <c r="A8" s="14" t="s">
        <v>8</v>
      </c>
      <c r="B8" s="14" t="s">
        <v>62</v>
      </c>
      <c r="C8" s="14">
        <v>1</v>
      </c>
    </row>
    <row r="9" spans="1:3" ht="14.65">
      <c r="A9" s="14" t="s">
        <v>9</v>
      </c>
      <c r="B9" s="14" t="s">
        <v>63</v>
      </c>
      <c r="C9" s="14">
        <v>60</v>
      </c>
    </row>
    <row r="10" spans="1:3" ht="14.65">
      <c r="A10" s="14" t="s">
        <v>10</v>
      </c>
      <c r="B10" s="14" t="s">
        <v>64</v>
      </c>
      <c r="C10" s="14">
        <f>_xlfn.XLOOKUP('3-Scen + 4-Sens'!$B$2,'3-Scen + 4-Sens'!$B$4:$B$7,'3-Scen + 4-Sens'!$D$4:$D$7)</f>
        <v>1</v>
      </c>
    </row>
    <row r="11" spans="1:3" ht="14.65">
      <c r="A11" s="12" t="s">
        <v>11</v>
      </c>
      <c r="B11" s="12" t="s">
        <v>65</v>
      </c>
      <c r="C11" s="12">
        <v>12</v>
      </c>
    </row>
    <row r="12" spans="1:3" ht="14.65">
      <c r="A12" s="12" t="s">
        <v>12</v>
      </c>
      <c r="B12" s="12" t="s">
        <v>66</v>
      </c>
      <c r="C12" s="13">
        <f>_xlfn.XLOOKUP('3-Scen + 4-Sens'!$B$2,'3-Scen + 4-Sens'!$B$4:$B$7,'3-Scen + 4-Sens'!$E$4:$E$7)</f>
        <v>1.4999999999999999E-2</v>
      </c>
    </row>
    <row r="13" spans="1:3" ht="14.65">
      <c r="A13" s="12" t="s">
        <v>13</v>
      </c>
      <c r="B13" s="12" t="s">
        <v>67</v>
      </c>
      <c r="C13" s="13">
        <f>_xlfn.XLOOKUP('3-Scen + 4-Sens'!$B$2,'3-Scen + 4-Sens'!$B$4:$B$7,'3-Scen + 4-Sens'!$F$4:$F$7)</f>
        <v>0.9</v>
      </c>
    </row>
    <row r="14" spans="1:3" ht="14.65">
      <c r="A14" s="12" t="s">
        <v>14</v>
      </c>
      <c r="B14" s="12" t="s">
        <v>68</v>
      </c>
      <c r="C14" s="13">
        <f>_xlfn.XLOOKUP('3-Scen + 4-Sens'!$B$2,'3-Scen + 4-Sens'!$B$4:$B$7,'3-Scen + 4-Sens'!$G$4:$G$7)</f>
        <v>5.0000000000000001E-3</v>
      </c>
    </row>
    <row r="15" spans="1:3">
      <c r="A15" s="8" t="s">
        <v>15</v>
      </c>
      <c r="B15" s="8" t="s">
        <v>16</v>
      </c>
      <c r="C15" s="8">
        <v>20</v>
      </c>
    </row>
    <row r="16" spans="1:3" ht="14.65">
      <c r="A16" s="8" t="s">
        <v>17</v>
      </c>
      <c r="B16" s="8" t="s">
        <v>69</v>
      </c>
      <c r="C16" s="9">
        <v>0.05</v>
      </c>
    </row>
    <row r="17" spans="1:3" ht="14.65">
      <c r="A17" s="8" t="s">
        <v>18</v>
      </c>
      <c r="B17" s="8" t="s">
        <v>70</v>
      </c>
      <c r="C17" s="8">
        <v>5</v>
      </c>
    </row>
    <row r="18" spans="1:3" ht="14.65">
      <c r="A18" s="8" t="s">
        <v>19</v>
      </c>
      <c r="B18" s="8" t="s">
        <v>71</v>
      </c>
      <c r="C18" s="8">
        <v>5</v>
      </c>
    </row>
    <row r="19" spans="1:3" ht="14.65">
      <c r="A19" s="10" t="s">
        <v>20</v>
      </c>
      <c r="B19" s="10" t="s">
        <v>72</v>
      </c>
      <c r="C19" s="19">
        <v>5000000</v>
      </c>
    </row>
    <row r="20" spans="1:3" ht="14.65">
      <c r="A20" s="10" t="s">
        <v>21</v>
      </c>
      <c r="B20" s="10" t="s">
        <v>73</v>
      </c>
      <c r="C20" s="11">
        <f>_xlfn.XLOOKUP('3-Scen + 4-Sens'!$B$2,'3-Scen + 4-Sens'!$B$4:$B$7,'3-Scen + 4-Sens'!$H$4:$H$7)</f>
        <v>0.05</v>
      </c>
    </row>
    <row r="21" spans="1:3" ht="14.65">
      <c r="A21" s="10" t="s">
        <v>22</v>
      </c>
      <c r="B21" s="10" t="s">
        <v>74</v>
      </c>
      <c r="C21" s="11">
        <v>0.02</v>
      </c>
    </row>
    <row r="22" spans="1:3" ht="14.65">
      <c r="A22" s="10" t="s">
        <v>23</v>
      </c>
      <c r="B22" s="10" t="s">
        <v>75</v>
      </c>
      <c r="C22" s="11">
        <v>0.5</v>
      </c>
    </row>
    <row r="23" spans="1:3" ht="14.65">
      <c r="A23" s="10" t="s">
        <v>24</v>
      </c>
      <c r="B23" s="10" t="s">
        <v>76</v>
      </c>
      <c r="C23" s="11">
        <v>5.5E-2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F6E3-35C4-4F8D-9AC7-D35A3AE8C4D6}">
  <dimension ref="A1:N18"/>
  <sheetViews>
    <sheetView workbookViewId="0">
      <selection activeCell="F22" sqref="F22"/>
    </sheetView>
  </sheetViews>
  <sheetFormatPr defaultRowHeight="14.25"/>
  <cols>
    <col min="1" max="1" width="7.6640625" style="1" bestFit="1" customWidth="1"/>
    <col min="2" max="2" width="12.3984375" style="1" bestFit="1" customWidth="1"/>
    <col min="3" max="3" width="14.265625" style="1" bestFit="1" customWidth="1"/>
    <col min="4" max="4" width="13.265625" style="1" bestFit="1" customWidth="1"/>
    <col min="5" max="5" width="10.1328125" style="1" bestFit="1" customWidth="1"/>
    <col min="6" max="7" width="11.59765625" style="1" customWidth="1"/>
    <col min="8" max="8" width="11.73046875" style="1" customWidth="1"/>
    <col min="9" max="9" width="15.33203125" style="1" hidden="1" customWidth="1"/>
    <col min="10" max="10" width="14.265625" style="1" customWidth="1"/>
    <col min="11" max="11" width="14" style="1" customWidth="1"/>
    <col min="12" max="12" width="10.06640625" style="1" bestFit="1" customWidth="1"/>
    <col min="13" max="13" width="11.33203125" style="1" customWidth="1"/>
    <col min="14" max="16384" width="9.06640625" style="1"/>
  </cols>
  <sheetData>
    <row r="1" spans="1:14" s="6" customFormat="1" ht="28.5">
      <c r="A1" s="5" t="s">
        <v>106</v>
      </c>
      <c r="B1" s="5" t="s">
        <v>107</v>
      </c>
      <c r="C1" s="5" t="s">
        <v>110</v>
      </c>
      <c r="D1" s="5" t="s">
        <v>111</v>
      </c>
      <c r="E1" s="5" t="s">
        <v>112</v>
      </c>
      <c r="F1" s="5" t="s">
        <v>113</v>
      </c>
      <c r="G1" s="5" t="s">
        <v>114</v>
      </c>
      <c r="H1" s="5" t="s">
        <v>115</v>
      </c>
      <c r="I1" s="5"/>
      <c r="J1" s="5" t="s">
        <v>116</v>
      </c>
      <c r="K1" s="5" t="s">
        <v>117</v>
      </c>
      <c r="L1" s="5" t="s">
        <v>118</v>
      </c>
      <c r="M1" s="58" t="s">
        <v>97</v>
      </c>
      <c r="N1" s="58" t="s">
        <v>98</v>
      </c>
    </row>
    <row r="2" spans="1:14">
      <c r="A2" s="51" t="s">
        <v>105</v>
      </c>
      <c r="B2" s="52" t="s">
        <v>119</v>
      </c>
      <c r="C2" s="1">
        <f>INDEX($C$5:$H$7, MATCH($B$2, $B$5:$B$7, 0), MATCH(C$1, $C$4:$H$4, 0))</f>
        <v>0.05</v>
      </c>
      <c r="D2" s="1">
        <f t="shared" ref="D2:N2" si="0">INDEX($C$5:$H$7, MATCH($B$2, $B$5:$B$7, 0), MATCH(D$1, $C$4:$H$4, 0))</f>
        <v>1</v>
      </c>
      <c r="E2" s="57">
        <f t="shared" si="0"/>
        <v>1.4999999999999999E-2</v>
      </c>
      <c r="F2" s="56">
        <f t="shared" si="0"/>
        <v>0.9</v>
      </c>
      <c r="G2" s="57">
        <f t="shared" si="0"/>
        <v>5.0000000000000001E-3</v>
      </c>
      <c r="H2" s="57">
        <f t="shared" si="0"/>
        <v>0.05</v>
      </c>
      <c r="I2" s="57"/>
      <c r="J2" s="59">
        <f>INDEX($C$5:$N$7, MATCH($B$2, $B$5:$B$7, 0), MATCH(J$1, $C$4:$N$4, 0))</f>
        <v>404134.05629014137</v>
      </c>
      <c r="K2" s="59">
        <f t="shared" ref="K2:M2" si="1">INDEX($C$5:$N$7, MATCH($B$2, $B$5:$B$7, 0), MATCH(K$1, $C$4:$N$4, 0))</f>
        <v>339550.72295680805</v>
      </c>
      <c r="L2" s="59">
        <f t="shared" si="1"/>
        <v>27050.722956808</v>
      </c>
      <c r="M2" s="59">
        <f t="shared" si="1"/>
        <v>18130.589296407066</v>
      </c>
      <c r="N2" s="57">
        <f>INDEX($C$5:$N$7, MATCH($B$2, $B$5:$B$7, 0), MATCH(N$1, $C$4:$N$4, 0))</f>
        <v>4.6970016714128038E-2</v>
      </c>
    </row>
    <row r="4" spans="1:14" s="6" customFormat="1" ht="28.5">
      <c r="B4" s="45" t="s">
        <v>83</v>
      </c>
      <c r="C4" s="34" t="s">
        <v>7</v>
      </c>
      <c r="D4" s="34" t="s">
        <v>10</v>
      </c>
      <c r="E4" s="35" t="s">
        <v>12</v>
      </c>
      <c r="F4" s="35" t="s">
        <v>13</v>
      </c>
      <c r="G4" s="35" t="s">
        <v>14</v>
      </c>
      <c r="H4" s="36" t="s">
        <v>21</v>
      </c>
      <c r="I4" s="42" t="s">
        <v>82</v>
      </c>
      <c r="J4" s="43" t="s">
        <v>93</v>
      </c>
      <c r="K4" s="43" t="s">
        <v>94</v>
      </c>
      <c r="L4" s="43" t="s">
        <v>95</v>
      </c>
      <c r="M4" s="44" t="s">
        <v>97</v>
      </c>
      <c r="N4" s="44" t="s">
        <v>98</v>
      </c>
    </row>
    <row r="5" spans="1:14">
      <c r="B5" s="46" t="s">
        <v>84</v>
      </c>
      <c r="C5" s="38">
        <v>0.03</v>
      </c>
      <c r="D5" s="39">
        <v>1</v>
      </c>
      <c r="E5" s="38">
        <v>2.5000000000000001E-2</v>
      </c>
      <c r="F5" s="38">
        <v>0.8</v>
      </c>
      <c r="G5" s="38">
        <v>0.01</v>
      </c>
      <c r="H5" s="38">
        <v>0.05</v>
      </c>
      <c r="I5" s="40" t="s">
        <v>89</v>
      </c>
      <c r="J5" s="41">
        <v>386003.4669937343</v>
      </c>
      <c r="K5" s="41">
        <v>321420.1336604011</v>
      </c>
      <c r="L5" s="41">
        <v>8920.1336604010539</v>
      </c>
      <c r="M5" s="37"/>
      <c r="N5" s="37"/>
    </row>
    <row r="6" spans="1:14">
      <c r="B6" s="47" t="s">
        <v>85</v>
      </c>
      <c r="C6" s="38">
        <v>0.05</v>
      </c>
      <c r="D6" s="39">
        <v>1</v>
      </c>
      <c r="E6" s="38">
        <v>1.4999999999999999E-2</v>
      </c>
      <c r="F6" s="38">
        <v>0.9</v>
      </c>
      <c r="G6" s="38">
        <v>5.0000000000000001E-3</v>
      </c>
      <c r="H6" s="38">
        <v>0.05</v>
      </c>
      <c r="I6" s="40" t="s">
        <v>91</v>
      </c>
      <c r="J6" s="41">
        <v>404134.05629014137</v>
      </c>
      <c r="K6" s="41">
        <v>339550.72295680805</v>
      </c>
      <c r="L6" s="41">
        <v>27050.722956808</v>
      </c>
      <c r="M6" s="41">
        <f>J6-J5</f>
        <v>18130.589296407066</v>
      </c>
      <c r="N6" s="38">
        <f>J6/J5-1</f>
        <v>4.6970016714128038E-2</v>
      </c>
    </row>
    <row r="7" spans="1:14">
      <c r="B7" s="48" t="s">
        <v>86</v>
      </c>
      <c r="C7" s="38">
        <v>0</v>
      </c>
      <c r="D7" s="39">
        <v>2</v>
      </c>
      <c r="E7" s="38">
        <v>3.5000000000000003E-2</v>
      </c>
      <c r="F7" s="38">
        <v>0.7</v>
      </c>
      <c r="G7" s="38">
        <v>0.02</v>
      </c>
      <c r="H7" s="38">
        <v>0.06</v>
      </c>
      <c r="I7" s="40" t="s">
        <v>87</v>
      </c>
      <c r="J7" s="41">
        <v>315479.61002203939</v>
      </c>
      <c r="K7" s="41">
        <v>250896.27668870598</v>
      </c>
      <c r="L7" s="41">
        <v>-86603.723311293987</v>
      </c>
      <c r="M7" s="41">
        <f>J7-J5</f>
        <v>-70523.856971694913</v>
      </c>
      <c r="N7" s="38">
        <f>J7/J6-1</f>
        <v>-0.21936890714415314</v>
      </c>
    </row>
    <row r="8" spans="1:14" hidden="1">
      <c r="I8" s="31" t="s">
        <v>96</v>
      </c>
      <c r="J8" s="33">
        <v>1105617.1333059152</v>
      </c>
      <c r="K8" s="33">
        <v>911867.13330591517</v>
      </c>
      <c r="L8" s="33">
        <v>-50632.866694084936</v>
      </c>
    </row>
    <row r="11" spans="1:14">
      <c r="A11" s="32"/>
    </row>
    <row r="12" spans="1:14">
      <c r="B12" s="45" t="s">
        <v>99</v>
      </c>
    </row>
    <row r="13" spans="1:14" ht="28.5">
      <c r="B13" s="34" t="s">
        <v>7</v>
      </c>
    </row>
    <row r="14" spans="1:14" ht="28.5">
      <c r="B14" s="34" t="s">
        <v>10</v>
      </c>
    </row>
    <row r="15" spans="1:14" ht="28.5">
      <c r="B15" s="35" t="s">
        <v>12</v>
      </c>
    </row>
    <row r="16" spans="1:14" ht="28.5">
      <c r="B16" s="35" t="s">
        <v>13</v>
      </c>
    </row>
    <row r="17" spans="2:2" ht="28.5">
      <c r="B17" s="35" t="s">
        <v>14</v>
      </c>
    </row>
    <row r="18" spans="2:2" ht="28.5">
      <c r="B18" s="36" t="s">
        <v>21</v>
      </c>
    </row>
  </sheetData>
  <phoneticPr fontId="1" type="noConversion"/>
  <conditionalFormatting sqref="L7:N7">
    <cfRule type="cellIs" dxfId="0" priority="1" operator="lessThan">
      <formula>0</formula>
    </cfRule>
  </conditionalFormatting>
  <dataValidations count="1">
    <dataValidation type="list" allowBlank="1" showInputMessage="1" showErrorMessage="1" sqref="B2" xr:uid="{CB2B569C-2883-4BC5-88C6-6A7280D8F659}">
      <formula1>"Base,Upside,Downside"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C19" sqref="C19"/>
    </sheetView>
  </sheetViews>
  <sheetFormatPr defaultRowHeight="14.25"/>
  <cols>
    <col min="1" max="2" width="13" style="21" bestFit="1" customWidth="1"/>
    <col min="3" max="16384" width="9.06640625" style="21"/>
  </cols>
  <sheetData>
    <row r="1" spans="1:2">
      <c r="A1" s="20" t="s">
        <v>25</v>
      </c>
      <c r="B1" s="20" t="s">
        <v>26</v>
      </c>
    </row>
    <row r="2" spans="1:2">
      <c r="A2" s="21">
        <v>1</v>
      </c>
      <c r="B2" s="22">
        <f>EDATE(Inputs!$C$3,ROW()-2)</f>
        <v>45658</v>
      </c>
    </row>
    <row r="3" spans="1:2">
      <c r="A3" s="21">
        <v>2</v>
      </c>
      <c r="B3" s="22">
        <f>EDATE(Inputs!$C$3,ROW()-2)</f>
        <v>45689</v>
      </c>
    </row>
    <row r="4" spans="1:2">
      <c r="A4" s="21">
        <v>3</v>
      </c>
      <c r="B4" s="22">
        <f>EDATE(Inputs!$C$3,ROW()-2)</f>
        <v>45717</v>
      </c>
    </row>
    <row r="5" spans="1:2">
      <c r="A5" s="21">
        <v>4</v>
      </c>
      <c r="B5" s="22">
        <f>EDATE(Inputs!$C$3,ROW()-2)</f>
        <v>45748</v>
      </c>
    </row>
    <row r="6" spans="1:2">
      <c r="A6" s="21">
        <v>5</v>
      </c>
      <c r="B6" s="22">
        <f>EDATE(Inputs!$C$3,ROW()-2)</f>
        <v>45778</v>
      </c>
    </row>
    <row r="7" spans="1:2">
      <c r="A7" s="21">
        <v>6</v>
      </c>
      <c r="B7" s="22">
        <f>EDATE(Inputs!$C$3,ROW()-2)</f>
        <v>45809</v>
      </c>
    </row>
    <row r="8" spans="1:2">
      <c r="A8" s="21">
        <v>7</v>
      </c>
      <c r="B8" s="22">
        <f>EDATE(Inputs!$C$3,ROW()-2)</f>
        <v>45839</v>
      </c>
    </row>
    <row r="9" spans="1:2">
      <c r="A9" s="21">
        <v>8</v>
      </c>
      <c r="B9" s="22">
        <f>EDATE(Inputs!$C$3,ROW()-2)</f>
        <v>45870</v>
      </c>
    </row>
    <row r="10" spans="1:2">
      <c r="A10" s="21">
        <v>9</v>
      </c>
      <c r="B10" s="22">
        <f>EDATE(Inputs!$C$3,ROW()-2)</f>
        <v>45901</v>
      </c>
    </row>
    <row r="11" spans="1:2">
      <c r="A11" s="21">
        <v>10</v>
      </c>
      <c r="B11" s="22">
        <f>EDATE(Inputs!$C$3,ROW()-2)</f>
        <v>45931</v>
      </c>
    </row>
    <row r="12" spans="1:2">
      <c r="A12" s="21">
        <v>11</v>
      </c>
      <c r="B12" s="22">
        <f>EDATE(Inputs!$C$3,ROW()-2)</f>
        <v>45962</v>
      </c>
    </row>
    <row r="13" spans="1:2">
      <c r="A13" s="21">
        <v>12</v>
      </c>
      <c r="B13" s="22">
        <f>EDATE(Inputs!$C$3,ROW()-2)</f>
        <v>45992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7CE8-88C5-4938-AAA6-87B9BBE0AD8E}">
  <dimension ref="A1:E10"/>
  <sheetViews>
    <sheetView zoomScale="85" zoomScaleNormal="85" workbookViewId="0">
      <selection activeCell="J34" sqref="J34"/>
    </sheetView>
  </sheetViews>
  <sheetFormatPr defaultRowHeight="14.25"/>
  <cols>
    <col min="1" max="1" width="9.06640625" style="1"/>
    <col min="2" max="2" width="10.3984375" style="1" bestFit="1" customWidth="1"/>
    <col min="3" max="3" width="9.3984375" style="1" bestFit="1" customWidth="1"/>
    <col min="4" max="4" width="9.06640625" style="1"/>
    <col min="5" max="5" width="12.86328125" style="1" bestFit="1" customWidth="1"/>
    <col min="6" max="16384" width="9.06640625" style="1"/>
  </cols>
  <sheetData>
    <row r="1" spans="1:5">
      <c r="A1" s="23" t="s">
        <v>104</v>
      </c>
    </row>
    <row r="2" spans="1:5">
      <c r="A2" s="49"/>
    </row>
    <row r="3" spans="1:5">
      <c r="A3" s="49"/>
      <c r="B3" s="1" t="s">
        <v>109</v>
      </c>
      <c r="C3" s="1" t="s">
        <v>109</v>
      </c>
    </row>
    <row r="4" spans="1:5">
      <c r="A4" s="3" t="s">
        <v>100</v>
      </c>
      <c r="B4" s="3" t="s">
        <v>101</v>
      </c>
      <c r="C4" s="3" t="s">
        <v>102</v>
      </c>
      <c r="D4" s="3" t="s">
        <v>108</v>
      </c>
      <c r="E4" s="3" t="s">
        <v>103</v>
      </c>
    </row>
    <row r="5" spans="1:5" ht="14.65">
      <c r="A5" s="50">
        <v>0</v>
      </c>
      <c r="B5" s="55">
        <v>314751.94175269722</v>
      </c>
      <c r="C5" s="55">
        <v>2251.9417526972029</v>
      </c>
      <c r="D5" s="28">
        <f t="shared" ref="D5:D10" si="0">B5-INDEX(B$4:B$10, MATCH(0.03, A$4:A$10, 0))</f>
        <v>-6668.1919077040511</v>
      </c>
      <c r="E5" s="54">
        <f t="shared" ref="E5:E10" si="1">B5/INDEX(B$4:B$10, MATCH(0.03, A$4:A$10, 0))-1</f>
        <v>-2.0746030535689353E-2</v>
      </c>
    </row>
    <row r="6" spans="1:5" ht="14.65">
      <c r="A6" s="50">
        <v>0.02</v>
      </c>
      <c r="B6" s="55">
        <v>319205.09041579522</v>
      </c>
      <c r="C6" s="55">
        <v>6705.0904157951954</v>
      </c>
      <c r="D6" s="28">
        <f t="shared" si="0"/>
        <v>-2215.0432446060586</v>
      </c>
      <c r="E6" s="54">
        <f t="shared" si="1"/>
        <v>-6.8914265555821697E-3</v>
      </c>
    </row>
    <row r="7" spans="1:5" ht="14.65">
      <c r="A7" s="53">
        <v>0.03</v>
      </c>
      <c r="B7" s="55">
        <v>321420.13366040128</v>
      </c>
      <c r="C7" s="55">
        <v>8920.133660401305</v>
      </c>
      <c r="D7" s="28">
        <f t="shared" si="0"/>
        <v>0</v>
      </c>
      <c r="E7" s="54">
        <f t="shared" si="1"/>
        <v>0</v>
      </c>
    </row>
    <row r="8" spans="1:5" ht="14.65">
      <c r="A8" s="50">
        <v>0.04</v>
      </c>
      <c r="B8" s="55">
        <v>323627.63687296788</v>
      </c>
      <c r="C8" s="55">
        <v>11127.63687296792</v>
      </c>
      <c r="D8" s="28">
        <f t="shared" si="0"/>
        <v>2207.5032125666039</v>
      </c>
      <c r="E8" s="54">
        <f t="shared" si="1"/>
        <v>6.8679680623211503E-3</v>
      </c>
    </row>
    <row r="9" spans="1:5" ht="14.65">
      <c r="A9" s="50">
        <v>0.05</v>
      </c>
      <c r="B9" s="55">
        <v>325827.70724250958</v>
      </c>
      <c r="C9" s="55">
        <v>13327.70724250961</v>
      </c>
      <c r="D9" s="28">
        <f t="shared" si="0"/>
        <v>4407.5735821083072</v>
      </c>
      <c r="E9" s="54">
        <f t="shared" si="1"/>
        <v>1.3712811117069457E-2</v>
      </c>
    </row>
    <row r="10" spans="1:5" ht="14.65">
      <c r="A10" s="50">
        <v>0.06</v>
      </c>
      <c r="B10" s="55">
        <v>328020.44940091</v>
      </c>
      <c r="C10" s="55">
        <v>15520.44940091</v>
      </c>
      <c r="D10" s="28">
        <f t="shared" si="0"/>
        <v>6600.3157405087259</v>
      </c>
      <c r="E10" s="54">
        <f t="shared" si="1"/>
        <v>2.053485469420635E-2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zoomScale="85" zoomScaleNormal="85" workbookViewId="0">
      <selection activeCell="O16" sqref="O16"/>
    </sheetView>
  </sheetViews>
  <sheetFormatPr defaultRowHeight="14.25"/>
  <cols>
    <col min="1" max="1" width="7.06640625" style="1" customWidth="1"/>
    <col min="2" max="2" width="11.265625" style="1" customWidth="1"/>
    <col min="3" max="10" width="9.46484375" style="1" customWidth="1"/>
    <col min="11" max="11" width="10.6640625" style="1" customWidth="1"/>
    <col min="12" max="13" width="9.46484375" style="1" customWidth="1"/>
    <col min="14" max="14" width="10.6640625" style="1" customWidth="1"/>
    <col min="15" max="15" width="11.33203125" style="1" customWidth="1"/>
    <col min="16" max="16" width="10.6640625" style="1" customWidth="1"/>
    <col min="17" max="16384" width="9.06640625" style="1"/>
  </cols>
  <sheetData>
    <row r="1" spans="1:16" s="6" customFormat="1" ht="28.5">
      <c r="A1" s="5" t="s">
        <v>25</v>
      </c>
      <c r="B1" s="5" t="s">
        <v>26</v>
      </c>
      <c r="C1" s="16" t="s">
        <v>27</v>
      </c>
      <c r="D1" s="16" t="s">
        <v>28</v>
      </c>
      <c r="E1" s="16" t="s">
        <v>29</v>
      </c>
      <c r="F1" s="16" t="s">
        <v>30</v>
      </c>
      <c r="G1" s="17" t="s">
        <v>31</v>
      </c>
      <c r="H1" s="17" t="s">
        <v>32</v>
      </c>
      <c r="I1" s="17" t="s">
        <v>33</v>
      </c>
      <c r="J1" s="17" t="s">
        <v>34</v>
      </c>
      <c r="K1" s="7" t="s">
        <v>35</v>
      </c>
      <c r="L1" s="7" t="s">
        <v>36</v>
      </c>
      <c r="M1" s="7" t="s">
        <v>37</v>
      </c>
      <c r="N1" s="7" t="s">
        <v>38</v>
      </c>
      <c r="O1" s="7" t="s">
        <v>39</v>
      </c>
      <c r="P1" s="24" t="s">
        <v>40</v>
      </c>
    </row>
    <row r="2" spans="1:16">
      <c r="A2" s="1">
        <v>1</v>
      </c>
      <c r="B2" s="2">
        <v>45658</v>
      </c>
      <c r="C2" s="1">
        <v>0</v>
      </c>
      <c r="D2" s="1">
        <v>0</v>
      </c>
      <c r="E2" s="29">
        <v>50</v>
      </c>
      <c r="F2" s="29">
        <v>0</v>
      </c>
      <c r="G2" s="29">
        <v>12</v>
      </c>
      <c r="H2" s="29">
        <v>10000</v>
      </c>
      <c r="I2" s="29">
        <v>0</v>
      </c>
      <c r="J2" s="29">
        <v>0</v>
      </c>
      <c r="K2" s="29">
        <v>-10000</v>
      </c>
      <c r="L2" s="29">
        <v>-3333.3333333333335</v>
      </c>
      <c r="M2" s="29">
        <v>-2048.6111111111113</v>
      </c>
      <c r="N2" s="29">
        <v>-15381.944444444445</v>
      </c>
      <c r="O2" s="29">
        <v>-28125</v>
      </c>
      <c r="P2" s="29">
        <v>-43506.944444444445</v>
      </c>
    </row>
    <row r="3" spans="1:16">
      <c r="A3" s="1">
        <v>2</v>
      </c>
      <c r="B3" s="2">
        <v>45689</v>
      </c>
      <c r="C3" s="1">
        <v>0</v>
      </c>
      <c r="D3" s="1">
        <v>0</v>
      </c>
      <c r="E3" s="29">
        <v>50</v>
      </c>
      <c r="F3" s="29">
        <v>0</v>
      </c>
      <c r="G3" s="29">
        <v>12.03445078462892</v>
      </c>
      <c r="H3" s="29">
        <v>10028.708987190766</v>
      </c>
      <c r="I3" s="29">
        <v>0</v>
      </c>
      <c r="J3" s="29">
        <v>0</v>
      </c>
      <c r="K3" s="29">
        <v>-10028.708987190766</v>
      </c>
      <c r="L3" s="29">
        <v>-3333.3333333333335</v>
      </c>
      <c r="M3" s="29">
        <v>-2048.6111111111113</v>
      </c>
      <c r="N3" s="29">
        <v>-15410.653431635212</v>
      </c>
      <c r="O3" s="29">
        <v>-28125</v>
      </c>
      <c r="P3" s="29">
        <v>-43535.653431635212</v>
      </c>
    </row>
    <row r="4" spans="1:16">
      <c r="A4" s="1">
        <v>3</v>
      </c>
      <c r="B4" s="2">
        <v>45717</v>
      </c>
      <c r="C4" s="1">
        <v>1</v>
      </c>
      <c r="D4" s="1">
        <v>1</v>
      </c>
      <c r="E4" s="29">
        <v>50</v>
      </c>
      <c r="F4" s="29">
        <v>0</v>
      </c>
      <c r="G4" s="29">
        <v>12.0690004739713</v>
      </c>
      <c r="H4" s="29">
        <v>10057.500394976085</v>
      </c>
      <c r="I4" s="29">
        <v>7040.2502764832589</v>
      </c>
      <c r="J4" s="29">
        <v>-140.80500552966518</v>
      </c>
      <c r="K4" s="29">
        <v>-3158.0551240224913</v>
      </c>
      <c r="L4" s="29">
        <v>-3333.3333333333335</v>
      </c>
      <c r="M4" s="29">
        <v>-2048.6111111111113</v>
      </c>
      <c r="N4" s="29">
        <v>-8539.9995684669357</v>
      </c>
      <c r="O4" s="29">
        <v>-28125</v>
      </c>
      <c r="P4" s="29">
        <v>-36664.999568466934</v>
      </c>
    </row>
    <row r="5" spans="1:16">
      <c r="A5" s="1">
        <v>4</v>
      </c>
      <c r="B5" s="2">
        <v>45748</v>
      </c>
      <c r="C5" s="1">
        <v>1</v>
      </c>
      <c r="D5" s="1">
        <v>0</v>
      </c>
      <c r="E5" s="29">
        <v>50</v>
      </c>
      <c r="F5" s="29">
        <v>41666.666666666672</v>
      </c>
      <c r="G5" s="29">
        <v>12.10364935197256</v>
      </c>
      <c r="H5" s="29">
        <v>10086.374459977134</v>
      </c>
      <c r="I5" s="29">
        <v>7060.4621219839937</v>
      </c>
      <c r="J5" s="29">
        <v>-974.54257577301325</v>
      </c>
      <c r="K5" s="29">
        <v>37666.211752900519</v>
      </c>
      <c r="L5" s="29">
        <v>-3333.3333333333335</v>
      </c>
      <c r="M5" s="29">
        <v>-2048.6111111111113</v>
      </c>
      <c r="N5" s="29">
        <v>32284.267308456074</v>
      </c>
      <c r="O5" s="29">
        <v>-28125</v>
      </c>
      <c r="P5" s="29">
        <v>4159.2673084560738</v>
      </c>
    </row>
    <row r="6" spans="1:16">
      <c r="A6" s="1">
        <v>5</v>
      </c>
      <c r="B6" s="2">
        <v>45778</v>
      </c>
      <c r="C6" s="1">
        <v>1</v>
      </c>
      <c r="D6" s="1">
        <v>0</v>
      </c>
      <c r="E6" s="29">
        <v>50</v>
      </c>
      <c r="F6" s="29">
        <v>41666.666666666672</v>
      </c>
      <c r="G6" s="29">
        <v>12.138397703393291</v>
      </c>
      <c r="H6" s="29">
        <v>10115.331419494409</v>
      </c>
      <c r="I6" s="29">
        <v>7080.7319936460854</v>
      </c>
      <c r="J6" s="29">
        <v>-974.94797320625514</v>
      </c>
      <c r="K6" s="29">
        <v>37657.119267612092</v>
      </c>
      <c r="L6" s="29">
        <v>-3333.3333333333335</v>
      </c>
      <c r="M6" s="29">
        <v>-2048.6111111111113</v>
      </c>
      <c r="N6" s="29">
        <v>32275.174823167647</v>
      </c>
      <c r="O6" s="29">
        <v>-28125</v>
      </c>
      <c r="P6" s="29">
        <v>4150.1748231676465</v>
      </c>
    </row>
    <row r="7" spans="1:16">
      <c r="A7" s="1">
        <v>6</v>
      </c>
      <c r="B7" s="2">
        <v>45809</v>
      </c>
      <c r="C7" s="1">
        <v>1</v>
      </c>
      <c r="D7" s="1">
        <v>0</v>
      </c>
      <c r="E7" s="29">
        <v>50</v>
      </c>
      <c r="F7" s="29">
        <v>41666.666666666672</v>
      </c>
      <c r="G7" s="29">
        <v>12.173245813811604</v>
      </c>
      <c r="H7" s="29">
        <v>10144.371511509671</v>
      </c>
      <c r="I7" s="29">
        <v>7101.0600580567698</v>
      </c>
      <c r="J7" s="29">
        <v>-975.35453449446879</v>
      </c>
      <c r="K7" s="29">
        <v>37648.000678719298</v>
      </c>
      <c r="L7" s="29">
        <v>-3333.3333333333335</v>
      </c>
      <c r="M7" s="29">
        <v>-2048.6111111111113</v>
      </c>
      <c r="N7" s="29">
        <v>32266.056234274853</v>
      </c>
      <c r="O7" s="29">
        <v>-28125</v>
      </c>
      <c r="P7" s="29">
        <v>4141.0562342748526</v>
      </c>
    </row>
    <row r="8" spans="1:16">
      <c r="A8" s="1">
        <v>7</v>
      </c>
      <c r="B8" s="2">
        <v>45839</v>
      </c>
      <c r="C8" s="1">
        <v>1</v>
      </c>
      <c r="D8" s="1">
        <v>0</v>
      </c>
      <c r="E8" s="29">
        <v>50</v>
      </c>
      <c r="F8" s="29">
        <v>41666.666666666672</v>
      </c>
      <c r="G8" s="29">
        <v>12.208193969625484</v>
      </c>
      <c r="H8" s="29">
        <v>10173.494974687903</v>
      </c>
      <c r="I8" s="29">
        <v>7121.4464822815316</v>
      </c>
      <c r="J8" s="29">
        <v>-975.76226297896415</v>
      </c>
      <c r="K8" s="29">
        <v>37638.855911281338</v>
      </c>
      <c r="L8" s="29">
        <v>-3333.3333333333335</v>
      </c>
      <c r="M8" s="29">
        <v>-2048.6111111111113</v>
      </c>
      <c r="N8" s="29">
        <v>32256.911466836893</v>
      </c>
      <c r="O8" s="29">
        <v>-28125</v>
      </c>
      <c r="P8" s="29">
        <v>4131.9114668368929</v>
      </c>
    </row>
    <row r="9" spans="1:16">
      <c r="A9" s="1">
        <v>8</v>
      </c>
      <c r="B9" s="2">
        <v>45870</v>
      </c>
      <c r="C9" s="1">
        <v>1</v>
      </c>
      <c r="D9" s="1">
        <v>0</v>
      </c>
      <c r="E9" s="29">
        <v>50</v>
      </c>
      <c r="F9" s="29">
        <v>41666.666666666672</v>
      </c>
      <c r="G9" s="29">
        <v>12.24324245805512</v>
      </c>
      <c r="H9" s="29">
        <v>10202.702048379266</v>
      </c>
      <c r="I9" s="29">
        <v>7141.8914338654859</v>
      </c>
      <c r="J9" s="29">
        <v>-976.17116201064323</v>
      </c>
      <c r="K9" s="29">
        <v>37629.684890142249</v>
      </c>
      <c r="L9" s="29">
        <v>-3333.3333333333335</v>
      </c>
      <c r="M9" s="29">
        <v>-2048.6111111111113</v>
      </c>
      <c r="N9" s="29">
        <v>32247.740445697804</v>
      </c>
      <c r="O9" s="29">
        <v>-28125</v>
      </c>
      <c r="P9" s="29">
        <v>4122.7404456978038</v>
      </c>
    </row>
    <row r="10" spans="1:16">
      <c r="A10" s="1">
        <v>9</v>
      </c>
      <c r="B10" s="2">
        <v>45901</v>
      </c>
      <c r="C10" s="1">
        <v>1</v>
      </c>
      <c r="D10" s="1">
        <v>0</v>
      </c>
      <c r="E10" s="29">
        <v>50</v>
      </c>
      <c r="F10" s="29">
        <v>41666.666666666672</v>
      </c>
      <c r="G10" s="29">
        <v>12.278391567145293</v>
      </c>
      <c r="H10" s="29">
        <v>10231.992972621078</v>
      </c>
      <c r="I10" s="29">
        <v>7162.3950808347536</v>
      </c>
      <c r="J10" s="29">
        <v>-976.58123495002849</v>
      </c>
      <c r="K10" s="29">
        <v>37620.48753993032</v>
      </c>
      <c r="L10" s="29">
        <v>-3333.3333333333335</v>
      </c>
      <c r="M10" s="29">
        <v>-2048.6111111111113</v>
      </c>
      <c r="N10" s="29">
        <v>32238.543095485875</v>
      </c>
      <c r="O10" s="29">
        <v>-28125</v>
      </c>
      <c r="P10" s="29">
        <v>4113.5430954858748</v>
      </c>
    </row>
    <row r="11" spans="1:16">
      <c r="A11" s="1">
        <v>10</v>
      </c>
      <c r="B11" s="2">
        <v>45931</v>
      </c>
      <c r="C11" s="1">
        <v>1</v>
      </c>
      <c r="D11" s="1">
        <v>0</v>
      </c>
      <c r="E11" s="29">
        <v>50</v>
      </c>
      <c r="F11" s="29">
        <v>41666.666666666672</v>
      </c>
      <c r="G11" s="29">
        <v>12.313641585767733</v>
      </c>
      <c r="H11" s="29">
        <v>10261.367988139778</v>
      </c>
      <c r="I11" s="29">
        <v>7182.9575916978447</v>
      </c>
      <c r="J11" s="29">
        <v>-976.99248516729028</v>
      </c>
      <c r="K11" s="29">
        <v>37611.263785057447</v>
      </c>
      <c r="L11" s="29">
        <v>-3333.3333333333335</v>
      </c>
      <c r="M11" s="29">
        <v>-2048.6111111111113</v>
      </c>
      <c r="N11" s="29">
        <v>32229.319340613001</v>
      </c>
      <c r="O11" s="29">
        <v>-28125</v>
      </c>
      <c r="P11" s="29">
        <v>4104.3193406130013</v>
      </c>
    </row>
    <row r="12" spans="1:16">
      <c r="A12" s="1">
        <v>11</v>
      </c>
      <c r="B12" s="2">
        <v>45962</v>
      </c>
      <c r="C12" s="1">
        <v>1</v>
      </c>
      <c r="D12" s="1">
        <v>0</v>
      </c>
      <c r="E12" s="29">
        <v>50</v>
      </c>
      <c r="F12" s="29">
        <v>41666.666666666672</v>
      </c>
      <c r="G12" s="29">
        <v>12.348992803623482</v>
      </c>
      <c r="H12" s="29">
        <v>10290.827336352901</v>
      </c>
      <c r="I12" s="29">
        <v>7203.5791354470302</v>
      </c>
      <c r="J12" s="29">
        <v>-977.40491604227395</v>
      </c>
      <c r="K12" s="29">
        <v>37602.013549718526</v>
      </c>
      <c r="L12" s="29">
        <v>-3333.3333333333335</v>
      </c>
      <c r="M12" s="29">
        <v>-2048.6111111111113</v>
      </c>
      <c r="N12" s="29">
        <v>32220.06910527408</v>
      </c>
      <c r="O12" s="29">
        <v>-28125</v>
      </c>
      <c r="P12" s="29">
        <v>4095.0691052740804</v>
      </c>
    </row>
    <row r="13" spans="1:16">
      <c r="A13" s="1">
        <v>12</v>
      </c>
      <c r="B13" s="2">
        <v>45992</v>
      </c>
      <c r="C13" s="1">
        <v>1</v>
      </c>
      <c r="D13" s="1">
        <v>0</v>
      </c>
      <c r="E13" s="29">
        <v>50</v>
      </c>
      <c r="F13" s="29">
        <v>41666.666666666672</v>
      </c>
      <c r="G13" s="29">
        <v>12.384445511245289</v>
      </c>
      <c r="H13" s="29">
        <v>10320.371259371075</v>
      </c>
      <c r="I13" s="29">
        <v>7224.2598815597521</v>
      </c>
      <c r="J13" s="29">
        <v>-977.81853096452846</v>
      </c>
      <c r="K13" s="29">
        <v>37592.736757890823</v>
      </c>
      <c r="L13" s="29">
        <v>-3333.3333333333335</v>
      </c>
      <c r="M13" s="29">
        <v>-2048.6111111111113</v>
      </c>
      <c r="N13" s="29">
        <v>32210.792313446378</v>
      </c>
      <c r="O13" s="29">
        <v>-28125</v>
      </c>
      <c r="P13" s="29">
        <v>4085.7923134463781</v>
      </c>
    </row>
    <row r="14" spans="1:16" s="23" customFormat="1">
      <c r="A14" s="25" t="s">
        <v>41</v>
      </c>
      <c r="B14" s="25"/>
      <c r="C14" s="25"/>
      <c r="D14" s="25"/>
      <c r="E14" s="25"/>
      <c r="F14" s="26">
        <f>SUM(F2:F13)</f>
        <v>375000.00000000012</v>
      </c>
      <c r="G14" s="25"/>
      <c r="H14" s="26">
        <f t="shared" ref="H14:P14" si="0">SUM(H2:H13)</f>
        <v>121913.04335270009</v>
      </c>
      <c r="I14" s="26">
        <f t="shared" si="0"/>
        <v>71319.034055856493</v>
      </c>
      <c r="J14" s="27">
        <f t="shared" si="0"/>
        <v>-8926.3806811171307</v>
      </c>
      <c r="K14" s="26">
        <f t="shared" si="0"/>
        <v>315479.61002203939</v>
      </c>
      <c r="L14" s="26">
        <f t="shared" si="0"/>
        <v>-40000</v>
      </c>
      <c r="M14" s="26">
        <f t="shared" si="0"/>
        <v>-24583.333333333328</v>
      </c>
      <c r="N14" s="26">
        <f t="shared" si="0"/>
        <v>250896.27668870598</v>
      </c>
      <c r="O14" s="26">
        <f t="shared" si="0"/>
        <v>-337500</v>
      </c>
      <c r="P14" s="26">
        <f t="shared" si="0"/>
        <v>-86603.723311293987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CF08-AFE3-49A6-AB1F-4F67A0B8F414}">
  <dimension ref="A1:Q14"/>
  <sheetViews>
    <sheetView topLeftCell="B1" zoomScale="85" zoomScaleNormal="85" workbookViewId="0">
      <selection activeCell="O16" sqref="O16"/>
    </sheetView>
  </sheetViews>
  <sheetFormatPr defaultRowHeight="14.25"/>
  <cols>
    <col min="1" max="1" width="13.46484375" style="1" customWidth="1"/>
    <col min="2" max="2" width="13" style="1" customWidth="1"/>
    <col min="3" max="4" width="10.06640625" style="1" customWidth="1"/>
    <col min="5" max="5" width="12.73046875" style="1" customWidth="1"/>
    <col min="6" max="6" width="11.19921875" style="1" customWidth="1"/>
    <col min="7" max="7" width="15.53125" style="1" customWidth="1"/>
    <col min="8" max="8" width="10.73046875" style="1" customWidth="1"/>
    <col min="9" max="9" width="11.46484375" style="1" customWidth="1"/>
    <col min="10" max="10" width="10.59765625" style="1" customWidth="1"/>
    <col min="11" max="11" width="15.53125" style="1" customWidth="1"/>
    <col min="12" max="13" width="11.33203125" style="1" customWidth="1"/>
    <col min="14" max="14" width="10.6640625" style="1" customWidth="1"/>
    <col min="15" max="15" width="16.73046875" style="1" customWidth="1"/>
    <col min="16" max="16" width="10.6640625" style="1" customWidth="1"/>
    <col min="17" max="17" width="9.46484375" style="1" customWidth="1"/>
    <col min="18" max="16384" width="9.06640625" style="1"/>
  </cols>
  <sheetData>
    <row r="1" spans="1:17" s="6" customFormat="1">
      <c r="A1" s="5" t="s">
        <v>25</v>
      </c>
      <c r="B1" s="5" t="s">
        <v>26</v>
      </c>
      <c r="C1" s="16" t="s">
        <v>27</v>
      </c>
      <c r="D1" s="16" t="s">
        <v>28</v>
      </c>
      <c r="E1" s="16" t="s">
        <v>29</v>
      </c>
      <c r="F1" s="16" t="s">
        <v>30</v>
      </c>
      <c r="G1" s="17" t="s">
        <v>31</v>
      </c>
      <c r="H1" s="17" t="s">
        <v>32</v>
      </c>
      <c r="I1" s="17" t="s">
        <v>33</v>
      </c>
      <c r="J1" s="17" t="s">
        <v>34</v>
      </c>
      <c r="K1" s="7" t="s">
        <v>35</v>
      </c>
      <c r="L1" s="7" t="s">
        <v>36</v>
      </c>
      <c r="M1" s="7" t="s">
        <v>37</v>
      </c>
      <c r="N1" s="7" t="s">
        <v>38</v>
      </c>
      <c r="O1" s="7" t="s">
        <v>39</v>
      </c>
      <c r="P1" s="24" t="s">
        <v>40</v>
      </c>
      <c r="Q1" s="6" t="s">
        <v>83</v>
      </c>
    </row>
    <row r="2" spans="1:17">
      <c r="A2" s="1">
        <f>Timeline!A2</f>
        <v>1</v>
      </c>
      <c r="B2" s="2">
        <f>Timeline!B2</f>
        <v>45658</v>
      </c>
      <c r="C2" s="1">
        <v>0</v>
      </c>
      <c r="D2" s="1">
        <v>0</v>
      </c>
      <c r="E2" s="29">
        <v>50</v>
      </c>
      <c r="F2" s="29">
        <v>0</v>
      </c>
      <c r="G2" s="29">
        <v>12</v>
      </c>
      <c r="H2" s="29">
        <v>10000</v>
      </c>
      <c r="I2" s="29">
        <v>0</v>
      </c>
      <c r="J2" s="29">
        <v>0</v>
      </c>
      <c r="K2" s="29">
        <v>-10000</v>
      </c>
      <c r="L2" s="29">
        <v>-3333.3333333333335</v>
      </c>
      <c r="M2" s="29">
        <v>-2048.6111111111113</v>
      </c>
      <c r="N2" s="29">
        <v>-15381.944444444445</v>
      </c>
      <c r="O2" s="29">
        <v>-26041.666666666668</v>
      </c>
      <c r="P2" s="29">
        <v>-41423.611111111109</v>
      </c>
      <c r="Q2" s="1" t="s">
        <v>90</v>
      </c>
    </row>
    <row r="3" spans="1:17">
      <c r="A3" s="1">
        <f>Timeline!A3</f>
        <v>2</v>
      </c>
      <c r="B3" s="2">
        <f>Timeline!B3</f>
        <v>45689</v>
      </c>
      <c r="C3" s="1">
        <v>1</v>
      </c>
      <c r="D3" s="1">
        <v>1</v>
      </c>
      <c r="E3" s="29">
        <v>50.123313488615182</v>
      </c>
      <c r="F3" s="29">
        <v>0</v>
      </c>
      <c r="G3" s="29">
        <v>12.024718035238113</v>
      </c>
      <c r="H3" s="29">
        <v>10020.598362698427</v>
      </c>
      <c r="I3" s="29">
        <v>8016.4786901587422</v>
      </c>
      <c r="J3" s="29">
        <v>-80.164786901587419</v>
      </c>
      <c r="K3" s="29">
        <v>-2084.2844594412727</v>
      </c>
      <c r="L3" s="29">
        <v>-3333.3333333333335</v>
      </c>
      <c r="M3" s="29">
        <v>-2048.6111111111113</v>
      </c>
      <c r="N3" s="29">
        <v>-7466.228903885718</v>
      </c>
      <c r="O3" s="29">
        <v>-26041.666666666668</v>
      </c>
      <c r="P3" s="29">
        <v>-33507.895570552384</v>
      </c>
      <c r="Q3" s="1" t="s">
        <v>90</v>
      </c>
    </row>
    <row r="4" spans="1:17">
      <c r="A4" s="1">
        <f>Timeline!A4</f>
        <v>3</v>
      </c>
      <c r="B4" s="2">
        <f>Timeline!B4</f>
        <v>45717</v>
      </c>
      <c r="C4" s="1">
        <v>1</v>
      </c>
      <c r="D4" s="1">
        <v>0</v>
      </c>
      <c r="E4" s="29">
        <v>50.246931101559845</v>
      </c>
      <c r="F4" s="29">
        <v>41872.442584633209</v>
      </c>
      <c r="G4" s="29">
        <v>12.04948698558173</v>
      </c>
      <c r="H4" s="29">
        <v>10041.239154651443</v>
      </c>
      <c r="I4" s="29">
        <v>8032.9913237211549</v>
      </c>
      <c r="J4" s="29">
        <v>-499.0543390835436</v>
      </c>
      <c r="K4" s="29">
        <v>39365.140414619374</v>
      </c>
      <c r="L4" s="29">
        <v>-3333.3333333333335</v>
      </c>
      <c r="M4" s="29">
        <v>-2048.6111111111113</v>
      </c>
      <c r="N4" s="29">
        <v>33983.195970174929</v>
      </c>
      <c r="O4" s="29">
        <v>-26041.666666666668</v>
      </c>
      <c r="P4" s="29">
        <v>7941.5293035082614</v>
      </c>
      <c r="Q4" s="1" t="s">
        <v>90</v>
      </c>
    </row>
    <row r="5" spans="1:17">
      <c r="A5" s="1">
        <f>Timeline!A5</f>
        <v>4</v>
      </c>
      <c r="B5" s="2">
        <f>Timeline!B5</f>
        <v>45748</v>
      </c>
      <c r="C5" s="1">
        <v>1</v>
      </c>
      <c r="D5" s="1">
        <v>0</v>
      </c>
      <c r="E5" s="29">
        <v>50.370853588886646</v>
      </c>
      <c r="F5" s="29">
        <v>41975.711324072203</v>
      </c>
      <c r="G5" s="29">
        <v>12.074306955907634</v>
      </c>
      <c r="H5" s="29">
        <v>10061.92246325636</v>
      </c>
      <c r="I5" s="29">
        <v>8049.537970605088</v>
      </c>
      <c r="J5" s="29">
        <v>-500.25249294677292</v>
      </c>
      <c r="K5" s="29">
        <v>39463.074338474151</v>
      </c>
      <c r="L5" s="29">
        <v>-3333.3333333333335</v>
      </c>
      <c r="M5" s="29">
        <v>-2048.6111111111113</v>
      </c>
      <c r="N5" s="29">
        <v>34081.129894029706</v>
      </c>
      <c r="O5" s="29">
        <v>-26041.666666666668</v>
      </c>
      <c r="P5" s="29">
        <v>8039.4632273630377</v>
      </c>
      <c r="Q5" s="1" t="s">
        <v>90</v>
      </c>
    </row>
    <row r="6" spans="1:17">
      <c r="A6" s="1">
        <f>Timeline!A6</f>
        <v>5</v>
      </c>
      <c r="B6" s="2">
        <f>Timeline!B6</f>
        <v>45778</v>
      </c>
      <c r="C6" s="1">
        <v>1</v>
      </c>
      <c r="D6" s="1">
        <v>0</v>
      </c>
      <c r="E6" s="29">
        <v>50.495081702498048</v>
      </c>
      <c r="F6" s="29">
        <v>42079.234752081706</v>
      </c>
      <c r="G6" s="29">
        <v>12.099178051308627</v>
      </c>
      <c r="H6" s="29">
        <v>10082.648376090521</v>
      </c>
      <c r="I6" s="29">
        <v>8066.1187008724173</v>
      </c>
      <c r="J6" s="29">
        <v>-501.45353452954123</v>
      </c>
      <c r="K6" s="29">
        <v>39561.251542334052</v>
      </c>
      <c r="L6" s="29">
        <v>-3333.3333333333335</v>
      </c>
      <c r="M6" s="29">
        <v>-2048.6111111111113</v>
      </c>
      <c r="N6" s="29">
        <v>34179.307097889607</v>
      </c>
      <c r="O6" s="29">
        <v>-26041.666666666668</v>
      </c>
      <c r="P6" s="29">
        <v>8137.6404312229388</v>
      </c>
      <c r="Q6" s="1" t="s">
        <v>90</v>
      </c>
    </row>
    <row r="7" spans="1:17">
      <c r="A7" s="1">
        <f>Timeline!A7</f>
        <v>6</v>
      </c>
      <c r="B7" s="2">
        <f>Timeline!B7</f>
        <v>45809</v>
      </c>
      <c r="C7" s="1">
        <v>1</v>
      </c>
      <c r="D7" s="1">
        <v>0</v>
      </c>
      <c r="E7" s="29">
        <v>50.619616196150915</v>
      </c>
      <c r="F7" s="29">
        <v>42183.013496792431</v>
      </c>
      <c r="G7" s="29">
        <v>12.124100377093999</v>
      </c>
      <c r="H7" s="29">
        <v>10103.416980911667</v>
      </c>
      <c r="I7" s="29">
        <v>8082.7335847293334</v>
      </c>
      <c r="J7" s="29">
        <v>-502.65747081521766</v>
      </c>
      <c r="K7" s="29">
        <v>39659.672629794884</v>
      </c>
      <c r="L7" s="29">
        <v>-3333.3333333333335</v>
      </c>
      <c r="M7" s="29">
        <v>-2048.6111111111113</v>
      </c>
      <c r="N7" s="29">
        <v>34277.728185350439</v>
      </c>
      <c r="O7" s="29">
        <v>-26041.666666666668</v>
      </c>
      <c r="P7" s="29">
        <v>8236.0615186837713</v>
      </c>
      <c r="Q7" s="1" t="s">
        <v>90</v>
      </c>
    </row>
    <row r="8" spans="1:17">
      <c r="A8" s="1">
        <f>Timeline!A8</f>
        <v>7</v>
      </c>
      <c r="B8" s="2">
        <f>Timeline!B8</f>
        <v>45839</v>
      </c>
      <c r="C8" s="1">
        <v>1</v>
      </c>
      <c r="D8" s="1">
        <v>0</v>
      </c>
      <c r="E8" s="29">
        <v>50.744457825461097</v>
      </c>
      <c r="F8" s="29">
        <v>42287.048187884247</v>
      </c>
      <c r="G8" s="29">
        <v>12.149074038789951</v>
      </c>
      <c r="H8" s="29">
        <v>10124.228365658291</v>
      </c>
      <c r="I8" s="29">
        <v>8099.382692526633</v>
      </c>
      <c r="J8" s="29">
        <v>-503.86430880410882</v>
      </c>
      <c r="K8" s="29">
        <v>39758.338205948487</v>
      </c>
      <c r="L8" s="29">
        <v>-3333.3333333333335</v>
      </c>
      <c r="M8" s="29">
        <v>-2048.6111111111113</v>
      </c>
      <c r="N8" s="29">
        <v>34376.393761504041</v>
      </c>
      <c r="O8" s="29">
        <v>-26041.666666666668</v>
      </c>
      <c r="P8" s="29">
        <v>8334.7270948373734</v>
      </c>
      <c r="Q8" s="1" t="s">
        <v>90</v>
      </c>
    </row>
    <row r="9" spans="1:17">
      <c r="A9" s="1">
        <f>Timeline!A9</f>
        <v>8</v>
      </c>
      <c r="B9" s="2">
        <f>Timeline!B9</f>
        <v>45870</v>
      </c>
      <c r="C9" s="1">
        <v>1</v>
      </c>
      <c r="D9" s="1">
        <v>0</v>
      </c>
      <c r="E9" s="29">
        <v>50.869607347907966</v>
      </c>
      <c r="F9" s="29">
        <v>42391.339456589973</v>
      </c>
      <c r="G9" s="29">
        <v>12.174099142140058</v>
      </c>
      <c r="H9" s="29">
        <v>10145.082618450047</v>
      </c>
      <c r="I9" s="29">
        <v>8116.0660947600381</v>
      </c>
      <c r="J9" s="29">
        <v>-505.07405551350013</v>
      </c>
      <c r="K9" s="29">
        <v>39857.248877386468</v>
      </c>
      <c r="L9" s="29">
        <v>-3333.3333333333335</v>
      </c>
      <c r="M9" s="29">
        <v>-2048.6111111111113</v>
      </c>
      <c r="N9" s="29">
        <v>34475.304432942023</v>
      </c>
      <c r="O9" s="29">
        <v>-26041.666666666668</v>
      </c>
      <c r="P9" s="29">
        <v>8433.6377662753548</v>
      </c>
      <c r="Q9" s="1" t="s">
        <v>90</v>
      </c>
    </row>
    <row r="10" spans="1:17">
      <c r="A10" s="1">
        <f>Timeline!A10</f>
        <v>9</v>
      </c>
      <c r="B10" s="2">
        <f>Timeline!B10</f>
        <v>45901</v>
      </c>
      <c r="C10" s="1">
        <v>1</v>
      </c>
      <c r="D10" s="1">
        <v>0</v>
      </c>
      <c r="E10" s="29">
        <v>50.99506552283907</v>
      </c>
      <c r="F10" s="29">
        <v>42495.887935699226</v>
      </c>
      <c r="G10" s="29">
        <v>12.199175793105699</v>
      </c>
      <c r="H10" s="29">
        <v>10165.979827588084</v>
      </c>
      <c r="I10" s="29">
        <v>8132.7838620704679</v>
      </c>
      <c r="J10" s="29">
        <v>-506.28671797769698</v>
      </c>
      <c r="K10" s="29">
        <v>39956.40525220392</v>
      </c>
      <c r="L10" s="29">
        <v>-3333.3333333333335</v>
      </c>
      <c r="M10" s="29">
        <v>-2048.6111111111113</v>
      </c>
      <c r="N10" s="29">
        <v>34574.460807759475</v>
      </c>
      <c r="O10" s="29">
        <v>-26041.666666666668</v>
      </c>
      <c r="P10" s="29">
        <v>8532.794141092807</v>
      </c>
      <c r="Q10" s="1" t="s">
        <v>90</v>
      </c>
    </row>
    <row r="11" spans="1:17">
      <c r="A11" s="1">
        <f>Timeline!A11</f>
        <v>10</v>
      </c>
      <c r="B11" s="2">
        <f>Timeline!B11</f>
        <v>45931</v>
      </c>
      <c r="C11" s="1">
        <v>1</v>
      </c>
      <c r="D11" s="1">
        <v>0</v>
      </c>
      <c r="E11" s="29">
        <v>51.120833111474681</v>
      </c>
      <c r="F11" s="29">
        <v>42600.694259562239</v>
      </c>
      <c r="G11" s="29">
        <v>12.224304097866527</v>
      </c>
      <c r="H11" s="29">
        <v>10186.92008155544</v>
      </c>
      <c r="I11" s="29">
        <v>8149.5360652443524</v>
      </c>
      <c r="J11" s="29">
        <v>-507.50230324806586</v>
      </c>
      <c r="K11" s="29">
        <v>40055.807940003084</v>
      </c>
      <c r="L11" s="29">
        <v>-3333.3333333333335</v>
      </c>
      <c r="M11" s="29">
        <v>-2048.6111111111113</v>
      </c>
      <c r="N11" s="29">
        <v>34673.863495558639</v>
      </c>
      <c r="O11" s="29">
        <v>-26041.666666666668</v>
      </c>
      <c r="P11" s="29">
        <v>8632.1968288919707</v>
      </c>
      <c r="Q11" s="1" t="s">
        <v>90</v>
      </c>
    </row>
    <row r="12" spans="1:17">
      <c r="A12" s="1">
        <f>Timeline!A12</f>
        <v>11</v>
      </c>
      <c r="B12" s="2">
        <f>Timeline!B12</f>
        <v>45962</v>
      </c>
      <c r="C12" s="1">
        <v>1</v>
      </c>
      <c r="D12" s="1">
        <v>0</v>
      </c>
      <c r="E12" s="29">
        <v>51.246910876912487</v>
      </c>
      <c r="F12" s="29">
        <v>42705.759064093741</v>
      </c>
      <c r="G12" s="29">
        <v>12.249484162820902</v>
      </c>
      <c r="H12" s="29">
        <v>10207.903469017419</v>
      </c>
      <c r="I12" s="29">
        <v>8166.3227752139355</v>
      </c>
      <c r="J12" s="29">
        <v>-508.7208183930768</v>
      </c>
      <c r="K12" s="29">
        <v>40155.457551897183</v>
      </c>
      <c r="L12" s="29">
        <v>-3333.3333333333335</v>
      </c>
      <c r="M12" s="29">
        <v>-2048.6111111111113</v>
      </c>
      <c r="N12" s="29">
        <v>34773.513107452738</v>
      </c>
      <c r="O12" s="29">
        <v>-26041.666666666668</v>
      </c>
      <c r="P12" s="29">
        <v>8731.8464407860702</v>
      </c>
      <c r="Q12" s="1" t="s">
        <v>90</v>
      </c>
    </row>
    <row r="13" spans="1:17">
      <c r="A13" s="1">
        <f>Timeline!A13</f>
        <v>12</v>
      </c>
      <c r="B13" s="2">
        <f>Timeline!B13</f>
        <v>45992</v>
      </c>
      <c r="C13" s="1">
        <v>1</v>
      </c>
      <c r="D13" s="1">
        <v>0</v>
      </c>
      <c r="E13" s="29">
        <v>51.373299584132162</v>
      </c>
      <c r="F13" s="29">
        <v>42811.082986776804</v>
      </c>
      <c r="G13" s="29">
        <v>12.274716094586347</v>
      </c>
      <c r="H13" s="29">
        <v>10228.930078821955</v>
      </c>
      <c r="I13" s="29">
        <v>8183.1440630575644</v>
      </c>
      <c r="J13" s="29">
        <v>-509.9422704983437</v>
      </c>
      <c r="K13" s="29">
        <v>40255.354700514072</v>
      </c>
      <c r="L13" s="29">
        <v>-3333.3333333333335</v>
      </c>
      <c r="M13" s="29">
        <v>-2048.6111111111113</v>
      </c>
      <c r="N13" s="29">
        <v>34873.410256069626</v>
      </c>
      <c r="O13" s="29">
        <v>-26041.666666666668</v>
      </c>
      <c r="P13" s="29">
        <v>8831.7435894029586</v>
      </c>
      <c r="Q13" s="1" t="s">
        <v>90</v>
      </c>
    </row>
    <row r="14" spans="1:17" s="23" customFormat="1">
      <c r="A14" s="25" t="s">
        <v>41</v>
      </c>
      <c r="B14" s="25"/>
      <c r="C14" s="25"/>
      <c r="D14" s="25"/>
      <c r="E14" s="25"/>
      <c r="F14" s="27">
        <f>SUM(F2:F13)</f>
        <v>423402.21404818585</v>
      </c>
      <c r="G14" s="25"/>
      <c r="H14" s="27">
        <f t="shared" ref="H14:P14" si="0">SUM(H2:H13)</f>
        <v>121368.86977869966</v>
      </c>
      <c r="I14" s="27">
        <f t="shared" si="0"/>
        <v>89095.095822959731</v>
      </c>
      <c r="J14" s="30">
        <f t="shared" si="0"/>
        <v>-5124.9730987114553</v>
      </c>
      <c r="K14" s="27">
        <f t="shared" si="0"/>
        <v>386003.4669937343</v>
      </c>
      <c r="L14" s="30">
        <f t="shared" si="0"/>
        <v>-40000</v>
      </c>
      <c r="M14" s="30">
        <f t="shared" si="0"/>
        <v>-24583.333333333328</v>
      </c>
      <c r="N14" s="27">
        <f t="shared" si="0"/>
        <v>321420.1336604011</v>
      </c>
      <c r="O14" s="30">
        <f t="shared" si="0"/>
        <v>-312500</v>
      </c>
      <c r="P14" s="27">
        <f t="shared" si="0"/>
        <v>8920.1336604010539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6C4EB-0A13-4CA7-840B-7FF8E5C8F0E3}">
  <dimension ref="A1:Q14"/>
  <sheetViews>
    <sheetView zoomScale="85" zoomScaleNormal="85" workbookViewId="0">
      <selection activeCell="O16" sqref="O16"/>
    </sheetView>
  </sheetViews>
  <sheetFormatPr defaultRowHeight="14.25"/>
  <cols>
    <col min="1" max="1" width="13.46484375" style="1" customWidth="1"/>
    <col min="2" max="2" width="13" style="1" customWidth="1"/>
    <col min="3" max="4" width="10.06640625" style="1" customWidth="1"/>
    <col min="5" max="5" width="12.73046875" style="1" customWidth="1"/>
    <col min="6" max="6" width="11.19921875" style="1" customWidth="1"/>
    <col min="7" max="7" width="15.53125" style="1" customWidth="1"/>
    <col min="8" max="8" width="10.86328125" style="1" customWidth="1"/>
    <col min="9" max="9" width="11.46484375" style="1" customWidth="1"/>
    <col min="10" max="10" width="10.59765625" style="1" customWidth="1"/>
    <col min="11" max="11" width="15.53125" style="1" customWidth="1"/>
    <col min="12" max="13" width="11.06640625" style="1" customWidth="1"/>
    <col min="14" max="14" width="10.6640625" style="1" customWidth="1"/>
    <col min="15" max="15" width="16.73046875" style="1" customWidth="1"/>
    <col min="16" max="16" width="10.6640625" style="1" customWidth="1"/>
    <col min="17" max="17" width="9.46484375" style="1" customWidth="1"/>
    <col min="18" max="16384" width="9.06640625" style="1"/>
  </cols>
  <sheetData>
    <row r="1" spans="1:17" s="6" customFormat="1">
      <c r="A1" s="5" t="s">
        <v>25</v>
      </c>
      <c r="B1" s="5" t="s">
        <v>26</v>
      </c>
      <c r="C1" s="16" t="s">
        <v>27</v>
      </c>
      <c r="D1" s="16" t="s">
        <v>28</v>
      </c>
      <c r="E1" s="16" t="s">
        <v>29</v>
      </c>
      <c r="F1" s="16" t="s">
        <v>30</v>
      </c>
      <c r="G1" s="17" t="s">
        <v>31</v>
      </c>
      <c r="H1" s="17" t="s">
        <v>32</v>
      </c>
      <c r="I1" s="17" t="s">
        <v>33</v>
      </c>
      <c r="J1" s="17" t="s">
        <v>34</v>
      </c>
      <c r="K1" s="7" t="s">
        <v>35</v>
      </c>
      <c r="L1" s="7" t="s">
        <v>36</v>
      </c>
      <c r="M1" s="7" t="s">
        <v>37</v>
      </c>
      <c r="N1" s="7" t="s">
        <v>38</v>
      </c>
      <c r="O1" s="7" t="s">
        <v>39</v>
      </c>
      <c r="P1" s="24" t="s">
        <v>40</v>
      </c>
      <c r="Q1" s="6" t="s">
        <v>83</v>
      </c>
    </row>
    <row r="2" spans="1:17">
      <c r="A2" s="1">
        <f>Timeline!A2</f>
        <v>1</v>
      </c>
      <c r="B2" s="2">
        <f>Timeline!B2</f>
        <v>45658</v>
      </c>
      <c r="C2" s="1">
        <v>0</v>
      </c>
      <c r="D2" s="1">
        <v>0</v>
      </c>
      <c r="E2" s="29">
        <v>50</v>
      </c>
      <c r="F2" s="29">
        <v>0</v>
      </c>
      <c r="G2" s="29">
        <v>12</v>
      </c>
      <c r="H2" s="29">
        <v>10000</v>
      </c>
      <c r="I2" s="29">
        <v>0</v>
      </c>
      <c r="J2" s="29">
        <v>0</v>
      </c>
      <c r="K2" s="29">
        <v>-10000</v>
      </c>
      <c r="L2" s="29">
        <v>-3333.3333333333335</v>
      </c>
      <c r="M2" s="29">
        <v>-2048.6111111111113</v>
      </c>
      <c r="N2" s="29">
        <v>-15381.944444444445</v>
      </c>
      <c r="O2" s="29">
        <v>-26041.666666666668</v>
      </c>
      <c r="P2" s="29">
        <v>-41423.611111111109</v>
      </c>
      <c r="Q2" s="1" t="s">
        <v>92</v>
      </c>
    </row>
    <row r="3" spans="1:17">
      <c r="A3" s="1">
        <f>Timeline!A3</f>
        <v>2</v>
      </c>
      <c r="B3" s="2">
        <f>Timeline!B3</f>
        <v>45689</v>
      </c>
      <c r="C3" s="1">
        <v>1</v>
      </c>
      <c r="D3" s="1">
        <v>1</v>
      </c>
      <c r="E3" s="29">
        <v>50.203706189182419</v>
      </c>
      <c r="F3" s="29">
        <v>0</v>
      </c>
      <c r="G3" s="29">
        <v>12.014897852597391</v>
      </c>
      <c r="H3" s="29">
        <v>10012.414877164492</v>
      </c>
      <c r="I3" s="29">
        <v>9011.173389448044</v>
      </c>
      <c r="J3" s="29">
        <v>-45.055866947240219</v>
      </c>
      <c r="K3" s="29">
        <v>-1046.2973546636877</v>
      </c>
      <c r="L3" s="29">
        <v>-3333.3333333333335</v>
      </c>
      <c r="M3" s="29">
        <v>-2048.6111111111113</v>
      </c>
      <c r="N3" s="29">
        <v>-6428.2417991081329</v>
      </c>
      <c r="O3" s="29">
        <v>-26041.666666666668</v>
      </c>
      <c r="P3" s="29">
        <v>-32469.908465774803</v>
      </c>
      <c r="Q3" s="1" t="s">
        <v>92</v>
      </c>
    </row>
    <row r="4" spans="1:17">
      <c r="A4" s="1">
        <f>Timeline!A4</f>
        <v>3</v>
      </c>
      <c r="B4" s="2">
        <f>Timeline!B4</f>
        <v>45717</v>
      </c>
      <c r="C4" s="1">
        <v>1</v>
      </c>
      <c r="D4" s="1">
        <v>0</v>
      </c>
      <c r="E4" s="29">
        <v>50.408242302595049</v>
      </c>
      <c r="F4" s="29">
        <v>42006.868585495868</v>
      </c>
      <c r="G4" s="29">
        <v>12.029814200695785</v>
      </c>
      <c r="H4" s="29">
        <v>10024.845167246487</v>
      </c>
      <c r="I4" s="29">
        <v>9022.3606505218395</v>
      </c>
      <c r="J4" s="29">
        <v>-255.14614618008855</v>
      </c>
      <c r="K4" s="29">
        <v>40749.237922591135</v>
      </c>
      <c r="L4" s="29">
        <v>-3333.3333333333335</v>
      </c>
      <c r="M4" s="29">
        <v>-2048.6111111111113</v>
      </c>
      <c r="N4" s="29">
        <v>35367.29347814669</v>
      </c>
      <c r="O4" s="29">
        <v>-26041.666666666668</v>
      </c>
      <c r="P4" s="29">
        <v>9325.6268114800223</v>
      </c>
      <c r="Q4" s="1" t="s">
        <v>92</v>
      </c>
    </row>
    <row r="5" spans="1:17">
      <c r="A5" s="1">
        <f>Timeline!A5</f>
        <v>4</v>
      </c>
      <c r="B5" s="2">
        <f>Timeline!B5</f>
        <v>45748</v>
      </c>
      <c r="C5" s="1">
        <v>1</v>
      </c>
      <c r="D5" s="1">
        <v>0</v>
      </c>
      <c r="E5" s="29">
        <v>50.613611721451967</v>
      </c>
      <c r="F5" s="29">
        <v>42178.00976787664</v>
      </c>
      <c r="G5" s="29">
        <v>12.044749067257115</v>
      </c>
      <c r="H5" s="29">
        <v>10037.290889380929</v>
      </c>
      <c r="I5" s="29">
        <v>9033.5618004428361</v>
      </c>
      <c r="J5" s="29">
        <v>-256.05785784159735</v>
      </c>
      <c r="K5" s="29">
        <v>40918.222821096948</v>
      </c>
      <c r="L5" s="29">
        <v>-3333.3333333333335</v>
      </c>
      <c r="M5" s="29">
        <v>-2048.6111111111113</v>
      </c>
      <c r="N5" s="29">
        <v>35536.278376652503</v>
      </c>
      <c r="O5" s="29">
        <v>-26041.666666666668</v>
      </c>
      <c r="P5" s="29">
        <v>9494.6117099858348</v>
      </c>
      <c r="Q5" s="1" t="s">
        <v>92</v>
      </c>
    </row>
    <row r="6" spans="1:17">
      <c r="A6" s="1">
        <f>Timeline!A6</f>
        <v>5</v>
      </c>
      <c r="B6" s="2">
        <f>Timeline!B6</f>
        <v>45778</v>
      </c>
      <c r="C6" s="1">
        <v>1</v>
      </c>
      <c r="D6" s="1">
        <v>0</v>
      </c>
      <c r="E6" s="29">
        <v>50.819817840742672</v>
      </c>
      <c r="F6" s="29">
        <v>42349.848200618893</v>
      </c>
      <c r="G6" s="29">
        <v>12.05970247527183</v>
      </c>
      <c r="H6" s="29">
        <v>10049.752062726524</v>
      </c>
      <c r="I6" s="29">
        <v>9044.776856453871</v>
      </c>
      <c r="J6" s="29">
        <v>-256.97312528536384</v>
      </c>
      <c r="K6" s="29">
        <v>41087.899869060871</v>
      </c>
      <c r="L6" s="29">
        <v>-3333.3333333333335</v>
      </c>
      <c r="M6" s="29">
        <v>-2048.6111111111113</v>
      </c>
      <c r="N6" s="29">
        <v>35705.955424616426</v>
      </c>
      <c r="O6" s="29">
        <v>-26041.666666666668</v>
      </c>
      <c r="P6" s="29">
        <v>9664.2887579497583</v>
      </c>
      <c r="Q6" s="1" t="s">
        <v>92</v>
      </c>
    </row>
    <row r="7" spans="1:17">
      <c r="A7" s="1">
        <f>Timeline!A7</f>
        <v>6</v>
      </c>
      <c r="B7" s="2">
        <f>Timeline!B7</f>
        <v>45809</v>
      </c>
      <c r="C7" s="1">
        <v>1</v>
      </c>
      <c r="D7" s="1">
        <v>0</v>
      </c>
      <c r="E7" s="29">
        <v>51.026864069288315</v>
      </c>
      <c r="F7" s="29">
        <v>42522.386724406926</v>
      </c>
      <c r="G7" s="29">
        <v>12.074674447758913</v>
      </c>
      <c r="H7" s="29">
        <v>10062.228706465761</v>
      </c>
      <c r="I7" s="29">
        <v>9056.0058358191854</v>
      </c>
      <c r="J7" s="29">
        <v>-257.8919628011306</v>
      </c>
      <c r="K7" s="29">
        <v>41258.271890959222</v>
      </c>
      <c r="L7" s="29">
        <v>-3333.3333333333335</v>
      </c>
      <c r="M7" s="29">
        <v>-2048.6111111111113</v>
      </c>
      <c r="N7" s="29">
        <v>35876.327446514777</v>
      </c>
      <c r="O7" s="29">
        <v>-26041.666666666668</v>
      </c>
      <c r="P7" s="29">
        <v>9834.6607798481091</v>
      </c>
      <c r="Q7" s="1" t="s">
        <v>92</v>
      </c>
    </row>
    <row r="8" spans="1:17">
      <c r="A8" s="1">
        <f>Timeline!A8</f>
        <v>7</v>
      </c>
      <c r="B8" s="2">
        <f>Timeline!B8</f>
        <v>45839</v>
      </c>
      <c r="C8" s="1">
        <v>1</v>
      </c>
      <c r="D8" s="1">
        <v>0</v>
      </c>
      <c r="E8" s="29">
        <v>51.234753829797995</v>
      </c>
      <c r="F8" s="29">
        <v>42695.628191498326</v>
      </c>
      <c r="G8" s="29">
        <v>12.08966500776593</v>
      </c>
      <c r="H8" s="29">
        <v>10074.720839804942</v>
      </c>
      <c r="I8" s="29">
        <v>9067.2487558244484</v>
      </c>
      <c r="J8" s="29">
        <v>-258.81438473661387</v>
      </c>
      <c r="K8" s="29">
        <v>41429.341722781217</v>
      </c>
      <c r="L8" s="29">
        <v>-3333.3333333333335</v>
      </c>
      <c r="M8" s="29">
        <v>-2048.6111111111113</v>
      </c>
      <c r="N8" s="29">
        <v>36047.397278336772</v>
      </c>
      <c r="O8" s="29">
        <v>-26041.666666666668</v>
      </c>
      <c r="P8" s="29">
        <v>10005.730611670104</v>
      </c>
      <c r="Q8" s="1" t="s">
        <v>92</v>
      </c>
    </row>
    <row r="9" spans="1:17">
      <c r="A9" s="1">
        <f>Timeline!A9</f>
        <v>8</v>
      </c>
      <c r="B9" s="2">
        <f>Timeline!B9</f>
        <v>45870</v>
      </c>
      <c r="C9" s="1">
        <v>1</v>
      </c>
      <c r="D9" s="1">
        <v>0</v>
      </c>
      <c r="E9" s="29">
        <v>51.44349055892534</v>
      </c>
      <c r="F9" s="29">
        <v>42869.575465771115</v>
      </c>
      <c r="G9" s="29">
        <v>12.104674178369059</v>
      </c>
      <c r="H9" s="29">
        <v>10087.228481974214</v>
      </c>
      <c r="I9" s="29">
        <v>9078.5056337767928</v>
      </c>
      <c r="J9" s="29">
        <v>-259.74040549773957</v>
      </c>
      <c r="K9" s="29">
        <v>41601.112212075961</v>
      </c>
      <c r="L9" s="29">
        <v>-3333.3333333333335</v>
      </c>
      <c r="M9" s="29">
        <v>-2048.6111111111113</v>
      </c>
      <c r="N9" s="29">
        <v>36219.167767631516</v>
      </c>
      <c r="O9" s="29">
        <v>-26041.666666666668</v>
      </c>
      <c r="P9" s="29">
        <v>10177.501100964848</v>
      </c>
      <c r="Q9" s="1" t="s">
        <v>92</v>
      </c>
    </row>
    <row r="10" spans="1:17">
      <c r="A10" s="1">
        <f>Timeline!A10</f>
        <v>9</v>
      </c>
      <c r="B10" s="2">
        <f>Timeline!B10</f>
        <v>45901</v>
      </c>
      <c r="C10" s="1">
        <v>1</v>
      </c>
      <c r="D10" s="1">
        <v>0</v>
      </c>
      <c r="E10" s="29">
        <v>51.653077707325345</v>
      </c>
      <c r="F10" s="29">
        <v>43044.231422771118</v>
      </c>
      <c r="G10" s="29">
        <v>12.119701982673124</v>
      </c>
      <c r="H10" s="29">
        <v>10099.751652227604</v>
      </c>
      <c r="I10" s="29">
        <v>9089.7764870048431</v>
      </c>
      <c r="J10" s="29">
        <v>-260.6700395488798</v>
      </c>
      <c r="K10" s="29">
        <v>41773.586217999473</v>
      </c>
      <c r="L10" s="29">
        <v>-3333.3333333333335</v>
      </c>
      <c r="M10" s="29">
        <v>-2048.6111111111113</v>
      </c>
      <c r="N10" s="29">
        <v>36391.641773555028</v>
      </c>
      <c r="O10" s="29">
        <v>-26041.666666666668</v>
      </c>
      <c r="P10" s="29">
        <v>10349.97510688836</v>
      </c>
      <c r="Q10" s="1" t="s">
        <v>92</v>
      </c>
    </row>
    <row r="11" spans="1:17">
      <c r="A11" s="1">
        <f>Timeline!A11</f>
        <v>10</v>
      </c>
      <c r="B11" s="2">
        <f>Timeline!B11</f>
        <v>45931</v>
      </c>
      <c r="C11" s="1">
        <v>1</v>
      </c>
      <c r="D11" s="1">
        <v>0</v>
      </c>
      <c r="E11" s="29">
        <v>51.863518739711388</v>
      </c>
      <c r="F11" s="29">
        <v>43219.598949759493</v>
      </c>
      <c r="G11" s="29">
        <v>12.13474844381164</v>
      </c>
      <c r="H11" s="29">
        <v>10112.290369843033</v>
      </c>
      <c r="I11" s="29">
        <v>9101.0613328587297</v>
      </c>
      <c r="J11" s="29">
        <v>-261.60330141309112</v>
      </c>
      <c r="K11" s="29">
        <v>41946.766611362102</v>
      </c>
      <c r="L11" s="29">
        <v>-3333.3333333333335</v>
      </c>
      <c r="M11" s="29">
        <v>-2048.6111111111113</v>
      </c>
      <c r="N11" s="29">
        <v>36564.822166917656</v>
      </c>
      <c r="O11" s="29">
        <v>-26041.666666666668</v>
      </c>
      <c r="P11" s="29">
        <v>10523.155500250989</v>
      </c>
      <c r="Q11" s="1" t="s">
        <v>92</v>
      </c>
    </row>
    <row r="12" spans="1:17">
      <c r="A12" s="1">
        <f>Timeline!A12</f>
        <v>11</v>
      </c>
      <c r="B12" s="2">
        <f>Timeline!B12</f>
        <v>45962</v>
      </c>
      <c r="C12" s="1">
        <v>1</v>
      </c>
      <c r="D12" s="1">
        <v>0</v>
      </c>
      <c r="E12" s="29">
        <v>52.074817134912543</v>
      </c>
      <c r="F12" s="29">
        <v>43395.680945760454</v>
      </c>
      <c r="G12" s="29">
        <v>12.149813584946834</v>
      </c>
      <c r="H12" s="29">
        <v>10124.844654122362</v>
      </c>
      <c r="I12" s="29">
        <v>9112.3601887101267</v>
      </c>
      <c r="J12" s="29">
        <v>-262.5402056723529</v>
      </c>
      <c r="K12" s="29">
        <v>42120.656274675865</v>
      </c>
      <c r="L12" s="29">
        <v>-3333.3333333333335</v>
      </c>
      <c r="M12" s="29">
        <v>-2048.6111111111113</v>
      </c>
      <c r="N12" s="29">
        <v>36738.711830231419</v>
      </c>
      <c r="O12" s="29">
        <v>-26041.666666666668</v>
      </c>
      <c r="P12" s="29">
        <v>10697.045163564751</v>
      </c>
      <c r="Q12" s="1" t="s">
        <v>92</v>
      </c>
    </row>
    <row r="13" spans="1:17">
      <c r="A13" s="1">
        <f>Timeline!A13</f>
        <v>12</v>
      </c>
      <c r="B13" s="2">
        <f>Timeline!B13</f>
        <v>45992</v>
      </c>
      <c r="C13" s="1">
        <v>1</v>
      </c>
      <c r="D13" s="1">
        <v>0</v>
      </c>
      <c r="E13" s="29">
        <v>52.286976385931027</v>
      </c>
      <c r="F13" s="29">
        <v>43572.48032160919</v>
      </c>
      <c r="G13" s="29">
        <v>12.164897429269695</v>
      </c>
      <c r="H13" s="29">
        <v>10137.414524391412</v>
      </c>
      <c r="I13" s="29">
        <v>9123.6730719522711</v>
      </c>
      <c r="J13" s="29">
        <v>-263.48076696780731</v>
      </c>
      <c r="K13" s="29">
        <v>42295.258102202242</v>
      </c>
      <c r="L13" s="29">
        <v>-3333.3333333333335</v>
      </c>
      <c r="M13" s="29">
        <v>-2048.6111111111113</v>
      </c>
      <c r="N13" s="29">
        <v>36913.313657757797</v>
      </c>
      <c r="O13" s="29">
        <v>-26041.666666666668</v>
      </c>
      <c r="P13" s="29">
        <v>10871.646991091129</v>
      </c>
      <c r="Q13" s="1" t="s">
        <v>92</v>
      </c>
    </row>
    <row r="14" spans="1:17" s="23" customFormat="1">
      <c r="A14" s="25" t="s">
        <v>41</v>
      </c>
      <c r="B14" s="25"/>
      <c r="C14" s="25"/>
      <c r="D14" s="25"/>
      <c r="E14" s="25"/>
      <c r="F14" s="27">
        <f>SUM(F2:F13)</f>
        <v>427854.30857556802</v>
      </c>
      <c r="G14" s="25"/>
      <c r="H14" s="27">
        <f t="shared" ref="H14:P14" si="0">SUM(H2:H13)</f>
        <v>120822.78222534776</v>
      </c>
      <c r="I14" s="27">
        <f t="shared" si="0"/>
        <v>99740.504002812988</v>
      </c>
      <c r="J14" s="30">
        <f t="shared" si="0"/>
        <v>-2637.9740628919053</v>
      </c>
      <c r="K14" s="27">
        <f t="shared" si="0"/>
        <v>404134.05629014137</v>
      </c>
      <c r="L14" s="30">
        <f t="shared" si="0"/>
        <v>-40000</v>
      </c>
      <c r="M14" s="30">
        <f t="shared" si="0"/>
        <v>-24583.333333333328</v>
      </c>
      <c r="N14" s="27">
        <f t="shared" si="0"/>
        <v>339550.72295680805</v>
      </c>
      <c r="O14" s="30">
        <f t="shared" si="0"/>
        <v>-312500</v>
      </c>
      <c r="P14" s="27">
        <f t="shared" si="0"/>
        <v>27050.722956808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8DA69-149E-45D5-91F0-BB93C9246C2D}">
  <dimension ref="A1:Q14"/>
  <sheetViews>
    <sheetView topLeftCell="G1" zoomScale="85" zoomScaleNormal="85" workbookViewId="0">
      <selection activeCell="O16" sqref="O16"/>
    </sheetView>
  </sheetViews>
  <sheetFormatPr defaultRowHeight="14.25"/>
  <cols>
    <col min="1" max="1" width="13.46484375" style="1" customWidth="1"/>
    <col min="2" max="2" width="13" style="1" customWidth="1"/>
    <col min="3" max="4" width="10.06640625" style="1" customWidth="1"/>
    <col min="5" max="5" width="12.73046875" style="1" customWidth="1"/>
    <col min="6" max="6" width="11.19921875" style="1" customWidth="1"/>
    <col min="7" max="7" width="15.53125" style="1" customWidth="1"/>
    <col min="8" max="8" width="11.19921875" style="1" customWidth="1"/>
    <col min="9" max="9" width="11.46484375" style="1" customWidth="1"/>
    <col min="10" max="10" width="10.59765625" style="1" customWidth="1"/>
    <col min="11" max="11" width="15.53125" style="1" customWidth="1"/>
    <col min="12" max="13" width="11.19921875" style="1" customWidth="1"/>
    <col min="14" max="14" width="10.6640625" style="1" customWidth="1"/>
    <col min="15" max="15" width="16.73046875" style="1" customWidth="1"/>
    <col min="16" max="16" width="10.6640625" style="1" customWidth="1"/>
    <col min="17" max="17" width="9.46484375" style="1" customWidth="1"/>
    <col min="18" max="16384" width="9.06640625" style="1"/>
  </cols>
  <sheetData>
    <row r="1" spans="1:17" s="6" customFormat="1">
      <c r="A1" s="5" t="s">
        <v>25</v>
      </c>
      <c r="B1" s="5" t="s">
        <v>26</v>
      </c>
      <c r="C1" s="16" t="s">
        <v>27</v>
      </c>
      <c r="D1" s="16" t="s">
        <v>28</v>
      </c>
      <c r="E1" s="16" t="s">
        <v>29</v>
      </c>
      <c r="F1" s="16" t="s">
        <v>30</v>
      </c>
      <c r="G1" s="17" t="s">
        <v>31</v>
      </c>
      <c r="H1" s="17" t="s">
        <v>32</v>
      </c>
      <c r="I1" s="17" t="s">
        <v>33</v>
      </c>
      <c r="J1" s="17" t="s">
        <v>34</v>
      </c>
      <c r="K1" s="7" t="s">
        <v>35</v>
      </c>
      <c r="L1" s="7" t="s">
        <v>36</v>
      </c>
      <c r="M1" s="7" t="s">
        <v>37</v>
      </c>
      <c r="N1" s="7" t="s">
        <v>38</v>
      </c>
      <c r="O1" s="7" t="s">
        <v>39</v>
      </c>
      <c r="P1" s="24" t="s">
        <v>40</v>
      </c>
      <c r="Q1" s="6" t="s">
        <v>83</v>
      </c>
    </row>
    <row r="2" spans="1:17">
      <c r="A2" s="1">
        <f>Timeline!A2</f>
        <v>1</v>
      </c>
      <c r="B2" s="2">
        <f>Timeline!B2</f>
        <v>45658</v>
      </c>
      <c r="C2" s="1">
        <f>IF(AND(A2&gt;=Inputs!$C$10+1,A2&lt;=Inputs!$C$10+Inputs!$C$9),1,0)</f>
        <v>0</v>
      </c>
      <c r="D2" s="1">
        <f>IF(AND(A2&gt;=Inputs!$C$10+1,A2&lt;=Inputs!$C$10+Inputs!$C$8),1,0)</f>
        <v>0</v>
      </c>
      <c r="E2" s="29">
        <f>Inputs!$C$6*POWER(1+Inputs!$C$7, (A2-1)/12)</f>
        <v>50</v>
      </c>
      <c r="F2" s="29">
        <f>C2*(1-D2)*(E2/12)*Inputs!$C$5</f>
        <v>0</v>
      </c>
      <c r="G2" s="29">
        <f>Inputs!$C$11*POWER(1+Inputs!$C$12, (A2-1)/12)</f>
        <v>12</v>
      </c>
      <c r="H2" s="29">
        <f>(G2/12)*Inputs!$C$5</f>
        <v>10000</v>
      </c>
      <c r="I2" s="29">
        <f>C2*Inputs!$C$13*H2</f>
        <v>0</v>
      </c>
      <c r="J2" s="29">
        <f>-(F2+I2)*Inputs!$C$14</f>
        <v>0</v>
      </c>
      <c r="K2" s="29">
        <f t="shared" ref="K2:K13" si="0">F2+I2+J2-H2</f>
        <v>-10000</v>
      </c>
      <c r="L2" s="29">
        <f>IF(A2&lt;=Inputs!$C$17*12,-(Inputs!$C$15*Inputs!$C$5)/(Inputs!$C$17*12),0)</f>
        <v>-3333.3333333333335</v>
      </c>
      <c r="M2" s="29">
        <f>IF(A2&lt;=Inputs!$C$18*12,-(Inputs!$C$16*((Inputs!$C$6/12)*Inputs!$C$5*(Inputs!$C$9-Inputs!$C$8)))/(Inputs!$C$18*12),0)</f>
        <v>-2048.6111111111113</v>
      </c>
      <c r="N2" s="29">
        <f t="shared" ref="N2:N13" si="1">K2+L2+M2</f>
        <v>-15381.944444444445</v>
      </c>
      <c r="O2" s="29">
        <f>-( Inputs!$C$19*( Inputs!$C$22*Inputs!$C$23 + (1-Inputs!$C$22)*(Inputs!$C$20+Inputs!$C$21) ) )/12</f>
        <v>-26041.666666666668</v>
      </c>
      <c r="P2" s="29">
        <f t="shared" ref="P2:P13" si="2">N2+O2</f>
        <v>-41423.611111111109</v>
      </c>
      <c r="Q2" s="1" t="s">
        <v>88</v>
      </c>
    </row>
    <row r="3" spans="1:17">
      <c r="A3" s="1">
        <f>Timeline!A3</f>
        <v>2</v>
      </c>
      <c r="B3" s="2">
        <f>Timeline!B3</f>
        <v>45689</v>
      </c>
      <c r="C3" s="1">
        <f>IF(AND(A3&gt;=Inputs!$C$10+1,A3&lt;=Inputs!$C$10+Inputs!$C$9),1,0)</f>
        <v>1</v>
      </c>
      <c r="D3" s="1">
        <f>IF(AND(A3&gt;=Inputs!$C$10+1,A3&lt;=Inputs!$C$10+Inputs!$C$8),1,0)</f>
        <v>1</v>
      </c>
      <c r="E3" s="29">
        <f>Inputs!$C$6*POWER(1+Inputs!$C$7, (A3-1)/12)</f>
        <v>50.203706189182419</v>
      </c>
      <c r="F3" s="29">
        <f>C3*(1-D3)*(E3/12)*Inputs!$C$5</f>
        <v>0</v>
      </c>
      <c r="G3" s="29">
        <f>Inputs!$C$11*POWER(1+Inputs!$C$12, (A3-1)/12)</f>
        <v>12.014897852597391</v>
      </c>
      <c r="H3" s="29">
        <f>(G3/12)*Inputs!$C$5</f>
        <v>10012.414877164492</v>
      </c>
      <c r="I3" s="29">
        <f>C3*Inputs!$C$13*H3</f>
        <v>9011.173389448044</v>
      </c>
      <c r="J3" s="29">
        <f>-(F3+I3)*Inputs!$C$14</f>
        <v>-45.055866947240219</v>
      </c>
      <c r="K3" s="29">
        <f t="shared" si="0"/>
        <v>-1046.2973546636877</v>
      </c>
      <c r="L3" s="29">
        <f>IF(A3&lt;=Inputs!$C$17*12,-(Inputs!$C$15*Inputs!$C$5)/(Inputs!$C$17*12),0)</f>
        <v>-3333.3333333333335</v>
      </c>
      <c r="M3" s="29">
        <f>IF(A3&lt;=Inputs!$C$18*12,-(Inputs!$C$16*((Inputs!$C$6/12)*Inputs!$C$5*(Inputs!$C$9-Inputs!$C$8)))/(Inputs!$C$18*12),0)</f>
        <v>-2048.6111111111113</v>
      </c>
      <c r="N3" s="29">
        <f t="shared" si="1"/>
        <v>-6428.2417991081329</v>
      </c>
      <c r="O3" s="29">
        <f>-( Inputs!$C$19*( Inputs!$C$22*Inputs!$C$23 + (1-Inputs!$C$22)*(Inputs!$C$20+Inputs!$C$21) ) )/12</f>
        <v>-26041.666666666668</v>
      </c>
      <c r="P3" s="29">
        <f t="shared" si="2"/>
        <v>-32469.908465774803</v>
      </c>
      <c r="Q3" s="1" t="s">
        <v>88</v>
      </c>
    </row>
    <row r="4" spans="1:17">
      <c r="A4" s="1">
        <f>Timeline!A4</f>
        <v>3</v>
      </c>
      <c r="B4" s="2">
        <f>Timeline!B4</f>
        <v>45717</v>
      </c>
      <c r="C4" s="1">
        <f>IF(AND(A4&gt;=Inputs!$C$10+1,A4&lt;=Inputs!$C$10+Inputs!$C$9),1,0)</f>
        <v>1</v>
      </c>
      <c r="D4" s="1">
        <f>IF(AND(A4&gt;=Inputs!$C$10+1,A4&lt;=Inputs!$C$10+Inputs!$C$8),1,0)</f>
        <v>0</v>
      </c>
      <c r="E4" s="29">
        <f>Inputs!$C$6*POWER(1+Inputs!$C$7, (A4-1)/12)</f>
        <v>50.408242302595049</v>
      </c>
      <c r="F4" s="29">
        <f>C4*(1-D4)*(E4/12)*Inputs!$C$5</f>
        <v>42006.868585495868</v>
      </c>
      <c r="G4" s="29">
        <f>Inputs!$C$11*POWER(1+Inputs!$C$12, (A4-1)/12)</f>
        <v>12.029814200695785</v>
      </c>
      <c r="H4" s="29">
        <f>(G4/12)*Inputs!$C$5</f>
        <v>10024.845167246487</v>
      </c>
      <c r="I4" s="29">
        <f>C4*Inputs!$C$13*H4</f>
        <v>9022.3606505218395</v>
      </c>
      <c r="J4" s="29">
        <f>-(F4+I4)*Inputs!$C$14</f>
        <v>-255.14614618008855</v>
      </c>
      <c r="K4" s="29">
        <f t="shared" si="0"/>
        <v>40749.237922591135</v>
      </c>
      <c r="L4" s="29">
        <f>IF(A4&lt;=Inputs!$C$17*12,-(Inputs!$C$15*Inputs!$C$5)/(Inputs!$C$17*12),0)</f>
        <v>-3333.3333333333335</v>
      </c>
      <c r="M4" s="29">
        <f>IF(A4&lt;=Inputs!$C$18*12,-(Inputs!$C$16*((Inputs!$C$6/12)*Inputs!$C$5*(Inputs!$C$9-Inputs!$C$8)))/(Inputs!$C$18*12),0)</f>
        <v>-2048.6111111111113</v>
      </c>
      <c r="N4" s="29">
        <f t="shared" si="1"/>
        <v>35367.29347814669</v>
      </c>
      <c r="O4" s="29">
        <f>-( Inputs!$C$19*( Inputs!$C$22*Inputs!$C$23 + (1-Inputs!$C$22)*(Inputs!$C$20+Inputs!$C$21) ) )/12</f>
        <v>-26041.666666666668</v>
      </c>
      <c r="P4" s="29">
        <f t="shared" si="2"/>
        <v>9325.6268114800223</v>
      </c>
      <c r="Q4" s="1" t="s">
        <v>88</v>
      </c>
    </row>
    <row r="5" spans="1:17">
      <c r="A5" s="1">
        <f>Timeline!A5</f>
        <v>4</v>
      </c>
      <c r="B5" s="2">
        <f>Timeline!B5</f>
        <v>45748</v>
      </c>
      <c r="C5" s="1">
        <f>IF(AND(A5&gt;=Inputs!$C$10+1,A5&lt;=Inputs!$C$10+Inputs!$C$9),1,0)</f>
        <v>1</v>
      </c>
      <c r="D5" s="1">
        <f>IF(AND(A5&gt;=Inputs!$C$10+1,A5&lt;=Inputs!$C$10+Inputs!$C$8),1,0)</f>
        <v>0</v>
      </c>
      <c r="E5" s="29">
        <f>Inputs!$C$6*POWER(1+Inputs!$C$7, (A5-1)/12)</f>
        <v>50.613611721451967</v>
      </c>
      <c r="F5" s="29">
        <f>C5*(1-D5)*(E5/12)*Inputs!$C$5</f>
        <v>42178.00976787664</v>
      </c>
      <c r="G5" s="29">
        <f>Inputs!$C$11*POWER(1+Inputs!$C$12, (A5-1)/12)</f>
        <v>12.044749067257115</v>
      </c>
      <c r="H5" s="29">
        <f>(G5/12)*Inputs!$C$5</f>
        <v>10037.290889380929</v>
      </c>
      <c r="I5" s="29">
        <f>C5*Inputs!$C$13*H5</f>
        <v>9033.5618004428361</v>
      </c>
      <c r="J5" s="29">
        <f>-(F5+I5)*Inputs!$C$14</f>
        <v>-256.05785784159735</v>
      </c>
      <c r="K5" s="29">
        <f t="shared" si="0"/>
        <v>40918.222821096948</v>
      </c>
      <c r="L5" s="29">
        <f>IF(A5&lt;=Inputs!$C$17*12,-(Inputs!$C$15*Inputs!$C$5)/(Inputs!$C$17*12),0)</f>
        <v>-3333.3333333333335</v>
      </c>
      <c r="M5" s="29">
        <f>IF(A5&lt;=Inputs!$C$18*12,-(Inputs!$C$16*((Inputs!$C$6/12)*Inputs!$C$5*(Inputs!$C$9-Inputs!$C$8)))/(Inputs!$C$18*12),0)</f>
        <v>-2048.6111111111113</v>
      </c>
      <c r="N5" s="29">
        <f t="shared" si="1"/>
        <v>35536.278376652503</v>
      </c>
      <c r="O5" s="29">
        <f>-( Inputs!$C$19*( Inputs!$C$22*Inputs!$C$23 + (1-Inputs!$C$22)*(Inputs!$C$20+Inputs!$C$21) ) )/12</f>
        <v>-26041.666666666668</v>
      </c>
      <c r="P5" s="29">
        <f t="shared" si="2"/>
        <v>9494.6117099858348</v>
      </c>
      <c r="Q5" s="1" t="s">
        <v>88</v>
      </c>
    </row>
    <row r="6" spans="1:17">
      <c r="A6" s="1">
        <f>Timeline!A6</f>
        <v>5</v>
      </c>
      <c r="B6" s="2">
        <f>Timeline!B6</f>
        <v>45778</v>
      </c>
      <c r="C6" s="1">
        <f>IF(AND(A6&gt;=Inputs!$C$10+1,A6&lt;=Inputs!$C$10+Inputs!$C$9),1,0)</f>
        <v>1</v>
      </c>
      <c r="D6" s="1">
        <f>IF(AND(A6&gt;=Inputs!$C$10+1,A6&lt;=Inputs!$C$10+Inputs!$C$8),1,0)</f>
        <v>0</v>
      </c>
      <c r="E6" s="29">
        <f>Inputs!$C$6*POWER(1+Inputs!$C$7, (A6-1)/12)</f>
        <v>50.819817840742672</v>
      </c>
      <c r="F6" s="29">
        <f>C6*(1-D6)*(E6/12)*Inputs!$C$5</f>
        <v>42349.848200618893</v>
      </c>
      <c r="G6" s="29">
        <f>Inputs!$C$11*POWER(1+Inputs!$C$12, (A6-1)/12)</f>
        <v>12.05970247527183</v>
      </c>
      <c r="H6" s="29">
        <f>(G6/12)*Inputs!$C$5</f>
        <v>10049.752062726524</v>
      </c>
      <c r="I6" s="29">
        <f>C6*Inputs!$C$13*H6</f>
        <v>9044.776856453871</v>
      </c>
      <c r="J6" s="29">
        <f>-(F6+I6)*Inputs!$C$14</f>
        <v>-256.97312528536384</v>
      </c>
      <c r="K6" s="29">
        <f t="shared" si="0"/>
        <v>41087.899869060871</v>
      </c>
      <c r="L6" s="29">
        <f>IF(A6&lt;=Inputs!$C$17*12,-(Inputs!$C$15*Inputs!$C$5)/(Inputs!$C$17*12),0)</f>
        <v>-3333.3333333333335</v>
      </c>
      <c r="M6" s="29">
        <f>IF(A6&lt;=Inputs!$C$18*12,-(Inputs!$C$16*((Inputs!$C$6/12)*Inputs!$C$5*(Inputs!$C$9-Inputs!$C$8)))/(Inputs!$C$18*12),0)</f>
        <v>-2048.6111111111113</v>
      </c>
      <c r="N6" s="29">
        <f t="shared" si="1"/>
        <v>35705.955424616426</v>
      </c>
      <c r="O6" s="29">
        <f>-( Inputs!$C$19*( Inputs!$C$22*Inputs!$C$23 + (1-Inputs!$C$22)*(Inputs!$C$20+Inputs!$C$21) ) )/12</f>
        <v>-26041.666666666668</v>
      </c>
      <c r="P6" s="29">
        <f t="shared" si="2"/>
        <v>9664.2887579497583</v>
      </c>
      <c r="Q6" s="1" t="s">
        <v>88</v>
      </c>
    </row>
    <row r="7" spans="1:17">
      <c r="A7" s="1">
        <f>Timeline!A7</f>
        <v>6</v>
      </c>
      <c r="B7" s="2">
        <f>Timeline!B7</f>
        <v>45809</v>
      </c>
      <c r="C7" s="1">
        <f>IF(AND(A7&gt;=Inputs!$C$10+1,A7&lt;=Inputs!$C$10+Inputs!$C$9),1,0)</f>
        <v>1</v>
      </c>
      <c r="D7" s="1">
        <f>IF(AND(A7&gt;=Inputs!$C$10+1,A7&lt;=Inputs!$C$10+Inputs!$C$8),1,0)</f>
        <v>0</v>
      </c>
      <c r="E7" s="29">
        <f>Inputs!$C$6*POWER(1+Inputs!$C$7, (A7-1)/12)</f>
        <v>51.026864069288315</v>
      </c>
      <c r="F7" s="29">
        <f>C7*(1-D7)*(E7/12)*Inputs!$C$5</f>
        <v>42522.386724406926</v>
      </c>
      <c r="G7" s="29">
        <f>Inputs!$C$11*POWER(1+Inputs!$C$12, (A7-1)/12)</f>
        <v>12.074674447758913</v>
      </c>
      <c r="H7" s="29">
        <f>(G7/12)*Inputs!$C$5</f>
        <v>10062.228706465761</v>
      </c>
      <c r="I7" s="29">
        <f>C7*Inputs!$C$13*H7</f>
        <v>9056.0058358191854</v>
      </c>
      <c r="J7" s="29">
        <f>-(F7+I7)*Inputs!$C$14</f>
        <v>-257.8919628011306</v>
      </c>
      <c r="K7" s="29">
        <f t="shared" si="0"/>
        <v>41258.271890959222</v>
      </c>
      <c r="L7" s="29">
        <f>IF(A7&lt;=Inputs!$C$17*12,-(Inputs!$C$15*Inputs!$C$5)/(Inputs!$C$17*12),0)</f>
        <v>-3333.3333333333335</v>
      </c>
      <c r="M7" s="29">
        <f>IF(A7&lt;=Inputs!$C$18*12,-(Inputs!$C$16*((Inputs!$C$6/12)*Inputs!$C$5*(Inputs!$C$9-Inputs!$C$8)))/(Inputs!$C$18*12),0)</f>
        <v>-2048.6111111111113</v>
      </c>
      <c r="N7" s="29">
        <f t="shared" si="1"/>
        <v>35876.327446514777</v>
      </c>
      <c r="O7" s="29">
        <f>-( Inputs!$C$19*( Inputs!$C$22*Inputs!$C$23 + (1-Inputs!$C$22)*(Inputs!$C$20+Inputs!$C$21) ) )/12</f>
        <v>-26041.666666666668</v>
      </c>
      <c r="P7" s="29">
        <f t="shared" si="2"/>
        <v>9834.6607798481091</v>
      </c>
      <c r="Q7" s="1" t="s">
        <v>88</v>
      </c>
    </row>
    <row r="8" spans="1:17">
      <c r="A8" s="1">
        <f>Timeline!A8</f>
        <v>7</v>
      </c>
      <c r="B8" s="2">
        <f>Timeline!B8</f>
        <v>45839</v>
      </c>
      <c r="C8" s="1">
        <f>IF(AND(A8&gt;=Inputs!$C$10+1,A8&lt;=Inputs!$C$10+Inputs!$C$9),1,0)</f>
        <v>1</v>
      </c>
      <c r="D8" s="1">
        <f>IF(AND(A8&gt;=Inputs!$C$10+1,A8&lt;=Inputs!$C$10+Inputs!$C$8),1,0)</f>
        <v>0</v>
      </c>
      <c r="E8" s="29">
        <f>Inputs!$C$6*POWER(1+Inputs!$C$7, (A8-1)/12)</f>
        <v>51.234753829797995</v>
      </c>
      <c r="F8" s="29">
        <f>C8*(1-D8)*(E8/12)*Inputs!$C$5</f>
        <v>42695.628191498326</v>
      </c>
      <c r="G8" s="29">
        <f>Inputs!$C$11*POWER(1+Inputs!$C$12, (A8-1)/12)</f>
        <v>12.08966500776593</v>
      </c>
      <c r="H8" s="29">
        <f>(G8/12)*Inputs!$C$5</f>
        <v>10074.720839804942</v>
      </c>
      <c r="I8" s="29">
        <f>C8*Inputs!$C$13*H8</f>
        <v>9067.2487558244484</v>
      </c>
      <c r="J8" s="29">
        <f>-(F8+I8)*Inputs!$C$14</f>
        <v>-258.81438473661387</v>
      </c>
      <c r="K8" s="29">
        <f t="shared" si="0"/>
        <v>41429.341722781217</v>
      </c>
      <c r="L8" s="29">
        <f>IF(A8&lt;=Inputs!$C$17*12,-(Inputs!$C$15*Inputs!$C$5)/(Inputs!$C$17*12),0)</f>
        <v>-3333.3333333333335</v>
      </c>
      <c r="M8" s="29">
        <f>IF(A8&lt;=Inputs!$C$18*12,-(Inputs!$C$16*((Inputs!$C$6/12)*Inputs!$C$5*(Inputs!$C$9-Inputs!$C$8)))/(Inputs!$C$18*12),0)</f>
        <v>-2048.6111111111113</v>
      </c>
      <c r="N8" s="29">
        <f t="shared" si="1"/>
        <v>36047.397278336772</v>
      </c>
      <c r="O8" s="29">
        <f>-( Inputs!$C$19*( Inputs!$C$22*Inputs!$C$23 + (1-Inputs!$C$22)*(Inputs!$C$20+Inputs!$C$21) ) )/12</f>
        <v>-26041.666666666668</v>
      </c>
      <c r="P8" s="29">
        <f t="shared" si="2"/>
        <v>10005.730611670104</v>
      </c>
      <c r="Q8" s="1" t="s">
        <v>88</v>
      </c>
    </row>
    <row r="9" spans="1:17">
      <c r="A9" s="1">
        <f>Timeline!A9</f>
        <v>8</v>
      </c>
      <c r="B9" s="2">
        <f>Timeline!B9</f>
        <v>45870</v>
      </c>
      <c r="C9" s="1">
        <f>IF(AND(A9&gt;=Inputs!$C$10+1,A9&lt;=Inputs!$C$10+Inputs!$C$9),1,0)</f>
        <v>1</v>
      </c>
      <c r="D9" s="1">
        <f>IF(AND(A9&gt;=Inputs!$C$10+1,A9&lt;=Inputs!$C$10+Inputs!$C$8),1,0)</f>
        <v>0</v>
      </c>
      <c r="E9" s="29">
        <f>Inputs!$C$6*POWER(1+Inputs!$C$7, (A9-1)/12)</f>
        <v>51.44349055892534</v>
      </c>
      <c r="F9" s="29">
        <f>C9*(1-D9)*(E9/12)*Inputs!$C$5</f>
        <v>42869.575465771115</v>
      </c>
      <c r="G9" s="29">
        <f>Inputs!$C$11*POWER(1+Inputs!$C$12, (A9-1)/12)</f>
        <v>12.104674178369059</v>
      </c>
      <c r="H9" s="29">
        <f>(G9/12)*Inputs!$C$5</f>
        <v>10087.228481974214</v>
      </c>
      <c r="I9" s="29">
        <f>C9*Inputs!$C$13*H9</f>
        <v>9078.5056337767928</v>
      </c>
      <c r="J9" s="29">
        <f>-(F9+I9)*Inputs!$C$14</f>
        <v>-259.74040549773957</v>
      </c>
      <c r="K9" s="29">
        <f t="shared" si="0"/>
        <v>41601.112212075961</v>
      </c>
      <c r="L9" s="29">
        <f>IF(A9&lt;=Inputs!$C$17*12,-(Inputs!$C$15*Inputs!$C$5)/(Inputs!$C$17*12),0)</f>
        <v>-3333.3333333333335</v>
      </c>
      <c r="M9" s="29">
        <f>IF(A9&lt;=Inputs!$C$18*12,-(Inputs!$C$16*((Inputs!$C$6/12)*Inputs!$C$5*(Inputs!$C$9-Inputs!$C$8)))/(Inputs!$C$18*12),0)</f>
        <v>-2048.6111111111113</v>
      </c>
      <c r="N9" s="29">
        <f t="shared" si="1"/>
        <v>36219.167767631516</v>
      </c>
      <c r="O9" s="29">
        <f>-( Inputs!$C$19*( Inputs!$C$22*Inputs!$C$23 + (1-Inputs!$C$22)*(Inputs!$C$20+Inputs!$C$21) ) )/12</f>
        <v>-26041.666666666668</v>
      </c>
      <c r="P9" s="29">
        <f t="shared" si="2"/>
        <v>10177.501100964848</v>
      </c>
      <c r="Q9" s="1" t="s">
        <v>88</v>
      </c>
    </row>
    <row r="10" spans="1:17">
      <c r="A10" s="1">
        <f>Timeline!A10</f>
        <v>9</v>
      </c>
      <c r="B10" s="2">
        <f>Timeline!B10</f>
        <v>45901</v>
      </c>
      <c r="C10" s="1">
        <f>IF(AND(A10&gt;=Inputs!$C$10+1,A10&lt;=Inputs!$C$10+Inputs!$C$9),1,0)</f>
        <v>1</v>
      </c>
      <c r="D10" s="1">
        <f>IF(AND(A10&gt;=Inputs!$C$10+1,A10&lt;=Inputs!$C$10+Inputs!$C$8),1,0)</f>
        <v>0</v>
      </c>
      <c r="E10" s="29">
        <f>Inputs!$C$6*POWER(1+Inputs!$C$7, (A10-1)/12)</f>
        <v>51.653077707325345</v>
      </c>
      <c r="F10" s="29">
        <f>C10*(1-D10)*(E10/12)*Inputs!$C$5</f>
        <v>43044.231422771118</v>
      </c>
      <c r="G10" s="29">
        <f>Inputs!$C$11*POWER(1+Inputs!$C$12, (A10-1)/12)</f>
        <v>12.119701982673124</v>
      </c>
      <c r="H10" s="29">
        <f>(G10/12)*Inputs!$C$5</f>
        <v>10099.751652227604</v>
      </c>
      <c r="I10" s="29">
        <f>C10*Inputs!$C$13*H10</f>
        <v>9089.7764870048431</v>
      </c>
      <c r="J10" s="29">
        <f>-(F10+I10)*Inputs!$C$14</f>
        <v>-260.6700395488798</v>
      </c>
      <c r="K10" s="29">
        <f t="shared" si="0"/>
        <v>41773.586217999473</v>
      </c>
      <c r="L10" s="29">
        <f>IF(A10&lt;=Inputs!$C$17*12,-(Inputs!$C$15*Inputs!$C$5)/(Inputs!$C$17*12),0)</f>
        <v>-3333.3333333333335</v>
      </c>
      <c r="M10" s="29">
        <f>IF(A10&lt;=Inputs!$C$18*12,-(Inputs!$C$16*((Inputs!$C$6/12)*Inputs!$C$5*(Inputs!$C$9-Inputs!$C$8)))/(Inputs!$C$18*12),0)</f>
        <v>-2048.6111111111113</v>
      </c>
      <c r="N10" s="29">
        <f t="shared" si="1"/>
        <v>36391.641773555028</v>
      </c>
      <c r="O10" s="29">
        <f>-( Inputs!$C$19*( Inputs!$C$22*Inputs!$C$23 + (1-Inputs!$C$22)*(Inputs!$C$20+Inputs!$C$21) ) )/12</f>
        <v>-26041.666666666668</v>
      </c>
      <c r="P10" s="29">
        <f t="shared" si="2"/>
        <v>10349.97510688836</v>
      </c>
      <c r="Q10" s="1" t="s">
        <v>88</v>
      </c>
    </row>
    <row r="11" spans="1:17">
      <c r="A11" s="1">
        <f>Timeline!A11</f>
        <v>10</v>
      </c>
      <c r="B11" s="2">
        <f>Timeline!B11</f>
        <v>45931</v>
      </c>
      <c r="C11" s="1">
        <f>IF(AND(A11&gt;=Inputs!$C$10+1,A11&lt;=Inputs!$C$10+Inputs!$C$9),1,0)</f>
        <v>1</v>
      </c>
      <c r="D11" s="1">
        <f>IF(AND(A11&gt;=Inputs!$C$10+1,A11&lt;=Inputs!$C$10+Inputs!$C$8),1,0)</f>
        <v>0</v>
      </c>
      <c r="E11" s="29">
        <f>Inputs!$C$6*POWER(1+Inputs!$C$7, (A11-1)/12)</f>
        <v>51.863518739711388</v>
      </c>
      <c r="F11" s="29">
        <f>C11*(1-D11)*(E11/12)*Inputs!$C$5</f>
        <v>43219.598949759493</v>
      </c>
      <c r="G11" s="29">
        <f>Inputs!$C$11*POWER(1+Inputs!$C$12, (A11-1)/12)</f>
        <v>12.13474844381164</v>
      </c>
      <c r="H11" s="29">
        <f>(G11/12)*Inputs!$C$5</f>
        <v>10112.290369843033</v>
      </c>
      <c r="I11" s="29">
        <f>C11*Inputs!$C$13*H11</f>
        <v>9101.0613328587297</v>
      </c>
      <c r="J11" s="29">
        <f>-(F11+I11)*Inputs!$C$14</f>
        <v>-261.60330141309112</v>
      </c>
      <c r="K11" s="29">
        <f t="shared" si="0"/>
        <v>41946.766611362102</v>
      </c>
      <c r="L11" s="29">
        <f>IF(A11&lt;=Inputs!$C$17*12,-(Inputs!$C$15*Inputs!$C$5)/(Inputs!$C$17*12),0)</f>
        <v>-3333.3333333333335</v>
      </c>
      <c r="M11" s="29">
        <f>IF(A11&lt;=Inputs!$C$18*12,-(Inputs!$C$16*((Inputs!$C$6/12)*Inputs!$C$5*(Inputs!$C$9-Inputs!$C$8)))/(Inputs!$C$18*12),0)</f>
        <v>-2048.6111111111113</v>
      </c>
      <c r="N11" s="29">
        <f t="shared" si="1"/>
        <v>36564.822166917656</v>
      </c>
      <c r="O11" s="29">
        <f>-( Inputs!$C$19*( Inputs!$C$22*Inputs!$C$23 + (1-Inputs!$C$22)*(Inputs!$C$20+Inputs!$C$21) ) )/12</f>
        <v>-26041.666666666668</v>
      </c>
      <c r="P11" s="29">
        <f t="shared" si="2"/>
        <v>10523.155500250989</v>
      </c>
      <c r="Q11" s="1" t="s">
        <v>88</v>
      </c>
    </row>
    <row r="12" spans="1:17">
      <c r="A12" s="1">
        <f>Timeline!A12</f>
        <v>11</v>
      </c>
      <c r="B12" s="2">
        <f>Timeline!B12</f>
        <v>45962</v>
      </c>
      <c r="C12" s="1">
        <f>IF(AND(A12&gt;=Inputs!$C$10+1,A12&lt;=Inputs!$C$10+Inputs!$C$9),1,0)</f>
        <v>1</v>
      </c>
      <c r="D12" s="1">
        <f>IF(AND(A12&gt;=Inputs!$C$10+1,A12&lt;=Inputs!$C$10+Inputs!$C$8),1,0)</f>
        <v>0</v>
      </c>
      <c r="E12" s="29">
        <f>Inputs!$C$6*POWER(1+Inputs!$C$7, (A12-1)/12)</f>
        <v>52.074817134912543</v>
      </c>
      <c r="F12" s="29">
        <f>C12*(1-D12)*(E12/12)*Inputs!$C$5</f>
        <v>43395.680945760454</v>
      </c>
      <c r="G12" s="29">
        <f>Inputs!$C$11*POWER(1+Inputs!$C$12, (A12-1)/12)</f>
        <v>12.149813584946834</v>
      </c>
      <c r="H12" s="29">
        <f>(G12/12)*Inputs!$C$5</f>
        <v>10124.844654122362</v>
      </c>
      <c r="I12" s="29">
        <f>C12*Inputs!$C$13*H12</f>
        <v>9112.3601887101267</v>
      </c>
      <c r="J12" s="29">
        <f>-(F12+I12)*Inputs!$C$14</f>
        <v>-262.5402056723529</v>
      </c>
      <c r="K12" s="29">
        <f t="shared" si="0"/>
        <v>42120.656274675865</v>
      </c>
      <c r="L12" s="29">
        <f>IF(A12&lt;=Inputs!$C$17*12,-(Inputs!$C$15*Inputs!$C$5)/(Inputs!$C$17*12),0)</f>
        <v>-3333.3333333333335</v>
      </c>
      <c r="M12" s="29">
        <f>IF(A12&lt;=Inputs!$C$18*12,-(Inputs!$C$16*((Inputs!$C$6/12)*Inputs!$C$5*(Inputs!$C$9-Inputs!$C$8)))/(Inputs!$C$18*12),0)</f>
        <v>-2048.6111111111113</v>
      </c>
      <c r="N12" s="29">
        <f t="shared" si="1"/>
        <v>36738.711830231419</v>
      </c>
      <c r="O12" s="29">
        <f>-( Inputs!$C$19*( Inputs!$C$22*Inputs!$C$23 + (1-Inputs!$C$22)*(Inputs!$C$20+Inputs!$C$21) ) )/12</f>
        <v>-26041.666666666668</v>
      </c>
      <c r="P12" s="29">
        <f t="shared" si="2"/>
        <v>10697.045163564751</v>
      </c>
      <c r="Q12" s="1" t="s">
        <v>88</v>
      </c>
    </row>
    <row r="13" spans="1:17">
      <c r="A13" s="1">
        <f>Timeline!A13</f>
        <v>12</v>
      </c>
      <c r="B13" s="2">
        <f>Timeline!B13</f>
        <v>45992</v>
      </c>
      <c r="C13" s="1">
        <f>IF(AND(A13&gt;=Inputs!$C$10+1,A13&lt;=Inputs!$C$10+Inputs!$C$9),1,0)</f>
        <v>1</v>
      </c>
      <c r="D13" s="1">
        <f>IF(AND(A13&gt;=Inputs!$C$10+1,A13&lt;=Inputs!$C$10+Inputs!$C$8),1,0)</f>
        <v>0</v>
      </c>
      <c r="E13" s="29">
        <f>Inputs!$C$6*POWER(1+Inputs!$C$7, (A13-1)/12)</f>
        <v>52.286976385931027</v>
      </c>
      <c r="F13" s="29">
        <f>C13*(1-D13)*(E13/12)*Inputs!$C$5</f>
        <v>43572.48032160919</v>
      </c>
      <c r="G13" s="29">
        <f>Inputs!$C$11*POWER(1+Inputs!$C$12, (A13-1)/12)</f>
        <v>12.164897429269695</v>
      </c>
      <c r="H13" s="29">
        <f>(G13/12)*Inputs!$C$5</f>
        <v>10137.414524391412</v>
      </c>
      <c r="I13" s="29">
        <f>C13*Inputs!$C$13*H13</f>
        <v>9123.6730719522711</v>
      </c>
      <c r="J13" s="29">
        <f>-(F13+I13)*Inputs!$C$14</f>
        <v>-263.48076696780731</v>
      </c>
      <c r="K13" s="29">
        <f t="shared" si="0"/>
        <v>42295.258102202242</v>
      </c>
      <c r="L13" s="29">
        <f>IF(A13&lt;=Inputs!$C$17*12,-(Inputs!$C$15*Inputs!$C$5)/(Inputs!$C$17*12),0)</f>
        <v>-3333.3333333333335</v>
      </c>
      <c r="M13" s="29">
        <f>IF(A13&lt;=Inputs!$C$18*12,-(Inputs!$C$16*((Inputs!$C$6/12)*Inputs!$C$5*(Inputs!$C$9-Inputs!$C$8)))/(Inputs!$C$18*12),0)</f>
        <v>-2048.6111111111113</v>
      </c>
      <c r="N13" s="29">
        <f t="shared" si="1"/>
        <v>36913.313657757797</v>
      </c>
      <c r="O13" s="29">
        <f>-( Inputs!$C$19*( Inputs!$C$22*Inputs!$C$23 + (1-Inputs!$C$22)*(Inputs!$C$20+Inputs!$C$21) ) )/12</f>
        <v>-26041.666666666668</v>
      </c>
      <c r="P13" s="29">
        <f t="shared" si="2"/>
        <v>10871.646991091129</v>
      </c>
      <c r="Q13" s="1" t="s">
        <v>88</v>
      </c>
    </row>
    <row r="14" spans="1:17" s="23" customFormat="1">
      <c r="A14" s="25" t="s">
        <v>41</v>
      </c>
      <c r="B14" s="25"/>
      <c r="C14" s="25"/>
      <c r="D14" s="25"/>
      <c r="E14" s="25"/>
      <c r="F14" s="27">
        <f>SUM(F2:F13)</f>
        <v>427854.30857556802</v>
      </c>
      <c r="G14" s="25"/>
      <c r="H14" s="27">
        <f t="shared" ref="H14:P14" si="3">SUM(H2:H13)</f>
        <v>120822.78222534776</v>
      </c>
      <c r="I14" s="27">
        <f t="shared" si="3"/>
        <v>99740.504002812988</v>
      </c>
      <c r="J14" s="30">
        <f t="shared" si="3"/>
        <v>-2637.9740628919053</v>
      </c>
      <c r="K14" s="27">
        <f t="shared" si="3"/>
        <v>404134.05629014137</v>
      </c>
      <c r="L14" s="30">
        <f t="shared" si="3"/>
        <v>-40000</v>
      </c>
      <c r="M14" s="30">
        <f t="shared" si="3"/>
        <v>-24583.333333333328</v>
      </c>
      <c r="N14" s="27">
        <f t="shared" si="3"/>
        <v>339550.72295680805</v>
      </c>
      <c r="O14" s="30">
        <f t="shared" si="3"/>
        <v>-312500</v>
      </c>
      <c r="P14" s="27">
        <f t="shared" si="3"/>
        <v>27050.722956808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D21" sqref="D21"/>
    </sheetView>
  </sheetViews>
  <sheetFormatPr defaultRowHeight="14.25"/>
  <cols>
    <col min="1" max="1" width="17.53125" style="1" bestFit="1" customWidth="1"/>
    <col min="2" max="2" width="55.53125" style="1" customWidth="1"/>
    <col min="3" max="16384" width="9.06640625" style="1"/>
  </cols>
  <sheetData>
    <row r="1" spans="1:3" ht="14.65">
      <c r="A1" s="3" t="s">
        <v>48</v>
      </c>
      <c r="B1" s="3" t="s">
        <v>49</v>
      </c>
    </row>
    <row r="2" spans="1:3">
      <c r="A2" s="1" t="s">
        <v>27</v>
      </c>
      <c r="B2" s="4" t="s">
        <v>50</v>
      </c>
    </row>
    <row r="3" spans="1:3">
      <c r="A3" s="1" t="s">
        <v>28</v>
      </c>
      <c r="B3" s="4" t="s">
        <v>51</v>
      </c>
    </row>
    <row r="4" spans="1:3">
      <c r="A4" s="1" t="s">
        <v>29</v>
      </c>
      <c r="B4" s="1" t="s">
        <v>52</v>
      </c>
    </row>
    <row r="5" spans="1:3">
      <c r="A5" s="1" t="s">
        <v>30</v>
      </c>
      <c r="B5" s="1" t="s">
        <v>42</v>
      </c>
    </row>
    <row r="6" spans="1:3">
      <c r="A6" s="1" t="s">
        <v>31</v>
      </c>
      <c r="B6" s="1" t="s">
        <v>53</v>
      </c>
    </row>
    <row r="7" spans="1:3">
      <c r="A7" s="1" t="s">
        <v>32</v>
      </c>
      <c r="B7" s="1" t="s">
        <v>43</v>
      </c>
    </row>
    <row r="8" spans="1:3">
      <c r="A8" s="1" t="s">
        <v>33</v>
      </c>
      <c r="B8" s="1" t="s">
        <v>54</v>
      </c>
    </row>
    <row r="9" spans="1:3">
      <c r="A9" s="1" t="s">
        <v>34</v>
      </c>
      <c r="B9" s="1" t="s">
        <v>44</v>
      </c>
    </row>
    <row r="10" spans="1:3">
      <c r="A10" s="1" t="s">
        <v>35</v>
      </c>
      <c r="B10" s="1" t="s">
        <v>45</v>
      </c>
    </row>
    <row r="11" spans="1:3">
      <c r="A11" s="1" t="s">
        <v>36</v>
      </c>
      <c r="B11" s="1" t="s">
        <v>77</v>
      </c>
      <c r="C11" s="1" t="s">
        <v>79</v>
      </c>
    </row>
    <row r="12" spans="1:3">
      <c r="A12" s="1" t="s">
        <v>37</v>
      </c>
      <c r="B12" s="1" t="s">
        <v>78</v>
      </c>
      <c r="C12" s="1" t="s">
        <v>80</v>
      </c>
    </row>
    <row r="13" spans="1:3">
      <c r="A13" s="1" t="s">
        <v>38</v>
      </c>
      <c r="B13" s="1" t="s">
        <v>46</v>
      </c>
    </row>
    <row r="14" spans="1:3">
      <c r="A14" s="1" t="s">
        <v>39</v>
      </c>
      <c r="B14" s="1" t="s">
        <v>81</v>
      </c>
    </row>
    <row r="15" spans="1:3">
      <c r="A15" s="1" t="s">
        <v>40</v>
      </c>
      <c r="B15" s="1" t="s">
        <v>47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FCE8D4-E924-4D13-9909-4D67FF64592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Inputs</vt:lpstr>
      <vt:lpstr>3-Scen + 4-Sens</vt:lpstr>
      <vt:lpstr>Timeline</vt:lpstr>
      <vt:lpstr>Sens_RG</vt:lpstr>
      <vt:lpstr>CF_Master</vt:lpstr>
      <vt:lpstr>CF_Base</vt:lpstr>
      <vt:lpstr>CF_Upside</vt:lpstr>
      <vt:lpstr>CF_Downside</vt:lpstr>
      <vt:lpstr>Calc_Notes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Eilin 10</cp:lastModifiedBy>
  <dcterms:created xsi:type="dcterms:W3CDTF">2025-10-31T01:32:08Z</dcterms:created>
  <dcterms:modified xsi:type="dcterms:W3CDTF">2025-11-02T12:08:43Z</dcterms:modified>
</cp:coreProperties>
</file>