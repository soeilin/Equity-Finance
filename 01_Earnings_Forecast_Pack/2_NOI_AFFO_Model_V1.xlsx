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ollowups\0.思维导图\4.Fin\2.GitHub\01_Earnings_Forecast_Pack\"/>
    </mc:Choice>
  </mc:AlternateContent>
  <xr:revisionPtr revIDLastSave="0" documentId="13_ncr:1_{4FAE9895-887F-4398-B117-C676F8BF52F8}" xr6:coauthVersionLast="47" xr6:coauthVersionMax="47" xr10:uidLastSave="{00000000-0000-0000-0000-000000000000}"/>
  <bookViews>
    <workbookView xWindow="-98" yWindow="-98" windowWidth="19396" windowHeight="11475" tabRatio="828" xr2:uid="{00000000-000D-0000-FFFF-FFFF00000000}"/>
  </bookViews>
  <sheets>
    <sheet name="Bridge_Inputs" sheetId="9" r:id="rId1"/>
    <sheet name="Bridge_Calc" sheetId="5" r:id="rId2"/>
    <sheet name="EBITDAre" sheetId="2" r:id="rId3"/>
    <sheet name="FFO_Bridge" sheetId="3" r:id="rId4"/>
    <sheet name="AFFO_Bridge" sheetId="4" r:id="rId5"/>
    <sheet name="Coverage" sheetId="6" r:id="rId6"/>
    <sheet name="Bridge_Chart" sheetId="7" r:id="rId7"/>
    <sheet name="Dictionary" sheetId="8" r:id="rId8"/>
  </sheets>
  <definedNames>
    <definedName name="_xlchart.v1.0" hidden="1">Bridge_Chart!$A$4:$A$16</definedName>
    <definedName name="_xlchart.v1.1" hidden="1">Bridge_Chart!$B$3</definedName>
    <definedName name="_xlchart.v1.2" hidden="1">Bridge_Chart!$B$4:$B$16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6" l="1"/>
  <c r="D13" i="6"/>
  <c r="B13" i="6"/>
  <c r="B15" i="6" s="1"/>
  <c r="C15" i="6"/>
  <c r="D15" i="6"/>
  <c r="C5" i="4"/>
  <c r="D5" i="4"/>
  <c r="E5" i="4"/>
  <c r="F5" i="4"/>
  <c r="G5" i="4"/>
  <c r="B5" i="4"/>
  <c r="C9" i="4"/>
  <c r="D9" i="4"/>
  <c r="E9" i="4"/>
  <c r="F9" i="4"/>
  <c r="G9" i="4"/>
  <c r="B9" i="4"/>
  <c r="C9" i="3"/>
  <c r="D9" i="3"/>
  <c r="E9" i="3"/>
  <c r="F9" i="3"/>
  <c r="G9" i="3"/>
  <c r="B9" i="3"/>
  <c r="B5" i="2"/>
  <c r="H18" i="5" l="1"/>
  <c r="G18" i="5"/>
  <c r="F18" i="5"/>
  <c r="B15" i="7" s="1"/>
  <c r="E18" i="5"/>
  <c r="D18" i="5"/>
  <c r="C18" i="5"/>
  <c r="H17" i="5"/>
  <c r="G17" i="5"/>
  <c r="F17" i="5"/>
  <c r="B14" i="7" s="1"/>
  <c r="E17" i="5"/>
  <c r="D17" i="5"/>
  <c r="C17" i="5"/>
  <c r="H16" i="5"/>
  <c r="G16" i="5"/>
  <c r="F16" i="5"/>
  <c r="E16" i="5"/>
  <c r="D16" i="5"/>
  <c r="C16" i="5"/>
  <c r="H13" i="5"/>
  <c r="G13" i="5"/>
  <c r="F13" i="5"/>
  <c r="B11" i="7" s="1"/>
  <c r="E13" i="5"/>
  <c r="D13" i="5"/>
  <c r="C13" i="5"/>
  <c r="H12" i="5"/>
  <c r="G12" i="5"/>
  <c r="F12" i="5"/>
  <c r="B10" i="7" s="1"/>
  <c r="E12" i="5"/>
  <c r="D12" i="5"/>
  <c r="C12" i="5"/>
  <c r="H11" i="5"/>
  <c r="G11" i="5"/>
  <c r="F11" i="5"/>
  <c r="B9" i="7" s="1"/>
  <c r="E11" i="5"/>
  <c r="D11" i="5"/>
  <c r="C11" i="5"/>
  <c r="H10" i="5"/>
  <c r="G10" i="5"/>
  <c r="F10" i="5"/>
  <c r="E10" i="5"/>
  <c r="D10" i="5"/>
  <c r="C10" i="5"/>
  <c r="H7" i="5"/>
  <c r="G7" i="5"/>
  <c r="F7" i="5"/>
  <c r="B6" i="7" s="1"/>
  <c r="E7" i="5"/>
  <c r="D7" i="5"/>
  <c r="C7" i="5"/>
  <c r="H6" i="5"/>
  <c r="G6" i="5"/>
  <c r="F6" i="5"/>
  <c r="B5" i="7" s="1"/>
  <c r="E6" i="5"/>
  <c r="D6" i="5"/>
  <c r="C6" i="5"/>
  <c r="H5" i="5"/>
  <c r="G5" i="5"/>
  <c r="F5" i="5"/>
  <c r="E5" i="5"/>
  <c r="D5" i="5"/>
  <c r="C5" i="5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6" i="3"/>
  <c r="F6" i="3"/>
  <c r="E6" i="3"/>
  <c r="D6" i="3"/>
  <c r="C6" i="3"/>
  <c r="B6" i="3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8" i="7" l="1"/>
  <c r="B13" i="7"/>
  <c r="B9" i="2"/>
  <c r="B5" i="3" s="1"/>
  <c r="B4" i="7"/>
  <c r="F8" i="5"/>
  <c r="G8" i="5"/>
  <c r="E8" i="5"/>
  <c r="H8" i="5"/>
  <c r="D8" i="5"/>
  <c r="C8" i="5"/>
  <c r="B7" i="7"/>
  <c r="C9" i="2"/>
  <c r="C5" i="3" s="1"/>
  <c r="D9" i="2"/>
  <c r="D5" i="3" s="1"/>
  <c r="G9" i="2"/>
  <c r="G5" i="3" s="1"/>
  <c r="F9" i="2"/>
  <c r="F5" i="3" s="1"/>
  <c r="E9" i="2"/>
  <c r="E5" i="3" s="1"/>
  <c r="E14" i="5" l="1"/>
  <c r="E19" i="5" s="1"/>
  <c r="D14" i="5"/>
  <c r="D19" i="5" s="1"/>
  <c r="H14" i="5"/>
  <c r="H19" i="5" s="1"/>
  <c r="D11" i="6" s="1"/>
  <c r="F14" i="5"/>
  <c r="C14" i="5"/>
  <c r="C19" i="5" s="1"/>
  <c r="G14" i="5"/>
  <c r="G19" i="5" s="1"/>
  <c r="C11" i="6" s="1"/>
  <c r="C12" i="6" l="1"/>
  <c r="C14" i="6" s="1"/>
  <c r="D12" i="6"/>
  <c r="D14" i="6" s="1"/>
  <c r="F19" i="5"/>
  <c r="B12" i="7"/>
  <c r="B16" i="7" l="1"/>
  <c r="B11" i="6"/>
  <c r="B12" i="6" l="1"/>
  <c r="B14" i="6" s="1"/>
</calcChain>
</file>

<file path=xl/sharedStrings.xml><?xml version="1.0" encoding="utf-8"?>
<sst xmlns="http://schemas.openxmlformats.org/spreadsheetml/2006/main" count="185" uniqueCount="121">
  <si>
    <t>Assumption</t>
  </si>
  <si>
    <t>Q1 Base</t>
  </si>
  <si>
    <t>Q1 Upside</t>
  </si>
  <si>
    <t>Q1 Downside</t>
  </si>
  <si>
    <t>Year Base</t>
  </si>
  <si>
    <t>Year Upside</t>
  </si>
  <si>
    <t>Year Downside</t>
  </si>
  <si>
    <t>Cash NOI (pre-amort.)</t>
  </si>
  <si>
    <t>TI Amortization (negative)</t>
  </si>
  <si>
    <t>LC Amortization (negative)</t>
  </si>
  <si>
    <t>Corporate G&amp;A (if alloc.)</t>
  </si>
  <si>
    <t>Management Fee (if any)</t>
  </si>
  <si>
    <t>Other Op. Adj. (non-cash)</t>
  </si>
  <si>
    <t>Interest Expense (negative)</t>
  </si>
  <si>
    <t>Recurring Capex (cash)</t>
  </si>
  <si>
    <t>Straight-line Rent Adj.</t>
  </si>
  <si>
    <t>Leasing Costs (cash)</t>
  </si>
  <si>
    <t>Notes:</t>
  </si>
  <si>
    <t>• Replace Interest with debt schedule outputs when available.</t>
  </si>
  <si>
    <t>Item</t>
  </si>
  <si>
    <t>NOI</t>
  </si>
  <si>
    <t>- Corporate G&amp;A</t>
  </si>
  <si>
    <t>- Management Fee</t>
  </si>
  <si>
    <t>± Other Op. Adj.</t>
  </si>
  <si>
    <t>EBITDAre</t>
  </si>
  <si>
    <t>- Interest Expense</t>
  </si>
  <si>
    <t>+ Depreciation &amp; Amort.</t>
  </si>
  <si>
    <t>± Non-recurring Adj.</t>
  </si>
  <si>
    <t>FFO (light)</t>
  </si>
  <si>
    <t>- Recurring Capex (cash)</t>
  </si>
  <si>
    <t>± Straight-line Rent</t>
  </si>
  <si>
    <t>- TI/LC (cash, if used)</t>
  </si>
  <si>
    <t>Bridge Item</t>
  </si>
  <si>
    <t>+ TI Amortization</t>
  </si>
  <si>
    <t>+ LC Amortization</t>
  </si>
  <si>
    <t>± Other Operating Adj.</t>
  </si>
  <si>
    <t>- Recurring Capex</t>
  </si>
  <si>
    <t>- TI/LC (cash)</t>
  </si>
  <si>
    <t>Dividend Coverage — Policy &amp; Outputs</t>
  </si>
  <si>
    <t>Units / Shares Outstanding</t>
  </si>
  <si>
    <t>Payout policy (% of AFFO)</t>
  </si>
  <si>
    <t>Target Dividend per unit (override, $)</t>
  </si>
  <si>
    <t>Metric</t>
  </si>
  <si>
    <t>AFFO (Year)</t>
  </si>
  <si>
    <t>AFFO / unit</t>
  </si>
  <si>
    <t>Dividend / unit</t>
  </si>
  <si>
    <t>Coverage (AFFO / Dividend)</t>
  </si>
  <si>
    <t>Amount</t>
  </si>
  <si>
    <t>TI Amort.</t>
  </si>
  <si>
    <t>LC Amort.</t>
  </si>
  <si>
    <t>G&amp;A</t>
  </si>
  <si>
    <t>Mgmt Fee</t>
  </si>
  <si>
    <t>Other Op.Adj.</t>
  </si>
  <si>
    <t>Interest</t>
  </si>
  <si>
    <t>Recurring Capex</t>
  </si>
  <si>
    <t>Straight-line Adj.</t>
  </si>
  <si>
    <t>Leasing Costs</t>
  </si>
  <si>
    <t>AFFO</t>
  </si>
  <si>
    <t>Field</t>
  </si>
  <si>
    <t>Definition / Treatment</t>
  </si>
  <si>
    <t>Unit</t>
  </si>
  <si>
    <t>Sheet</t>
  </si>
  <si>
    <t>$</t>
  </si>
  <si>
    <t>Bridge_Inputs</t>
  </si>
  <si>
    <t>TI Amortization</t>
  </si>
  <si>
    <t>Evenly amortized tenant improvements (negative)</t>
  </si>
  <si>
    <t>LC Amortization</t>
  </si>
  <si>
    <t>Evenly amortized leasing commissions (negative)</t>
  </si>
  <si>
    <t>Corporate G&amp;A</t>
  </si>
  <si>
    <t>Allocated corporate overhead; if any</t>
  </si>
  <si>
    <t>Management Fee</t>
  </si>
  <si>
    <t>Property management fee; % of rent/NOI</t>
  </si>
  <si>
    <t>Other Op. Adj.</t>
  </si>
  <si>
    <t>Recurring operating adjustments (often 0 in light version)</t>
  </si>
  <si>
    <t>Interest Expense</t>
  </si>
  <si>
    <t>Debt cost with hedge mix</t>
  </si>
  <si>
    <t>Maintenance CapEx</t>
  </si>
  <si>
    <t>Straight-line Rent</t>
  </si>
  <si>
    <t>Adjustment to cash basis if required</t>
  </si>
  <si>
    <t>LC/TI (cash)</t>
  </si>
  <si>
    <t>Cash leasing costs if cash-based disclosure is used</t>
  </si>
  <si>
    <t>NOI – G&amp;A – Mgmt Fee ± Op.Adj.</t>
  </si>
  <si>
    <t>EBITDAre − Interest ± D&amp;A / Non-recurring</t>
  </si>
  <si>
    <t>FFO_Bridge</t>
  </si>
  <si>
    <t>FFO − Recurring CapEx ± Straight-line − LC/TI cash</t>
  </si>
  <si>
    <t>AFFO_Bridge</t>
  </si>
  <si>
    <t>AFFO per unit</t>
  </si>
  <si>
    <t>AFFO divided by units/shares</t>
  </si>
  <si>
    <t>$/unit</t>
  </si>
  <si>
    <t>Coverage</t>
  </si>
  <si>
    <t>AFFO / Dividend</t>
  </si>
  <si>
    <t>x</t>
  </si>
  <si>
    <r>
      <t xml:space="preserve">Field Dictionary (NOI </t>
    </r>
    <r>
      <rPr>
        <b/>
        <sz val="14"/>
        <color theme="1"/>
        <rFont val="宋体"/>
        <family val="2"/>
      </rPr>
      <t>→</t>
    </r>
    <r>
      <rPr>
        <b/>
        <sz val="14"/>
        <color theme="1"/>
        <rFont val="Calibri"/>
        <family val="2"/>
      </rPr>
      <t xml:space="preserve"> EBITDAre </t>
    </r>
    <r>
      <rPr>
        <b/>
        <sz val="14"/>
        <color theme="1"/>
        <rFont val="宋体"/>
        <family val="2"/>
      </rPr>
      <t>→</t>
    </r>
    <r>
      <rPr>
        <b/>
        <sz val="14"/>
        <color theme="1"/>
        <rFont val="Calibri"/>
        <family val="2"/>
      </rPr>
      <t xml:space="preserve"> FFO </t>
    </r>
    <r>
      <rPr>
        <b/>
        <sz val="14"/>
        <color theme="1"/>
        <rFont val="宋体"/>
        <family val="2"/>
      </rPr>
      <t>→</t>
    </r>
    <r>
      <rPr>
        <b/>
        <sz val="14"/>
        <color theme="1"/>
        <rFont val="Calibri"/>
        <family val="2"/>
      </rPr>
      <t xml:space="preserve"> AFFO)</t>
    </r>
  </si>
  <si>
    <r>
      <t>Paste from Lease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>NOI (cash NOI before TI/LC amort.)</t>
    </r>
  </si>
  <si>
    <r>
      <t xml:space="preserve">NOI </t>
    </r>
    <r>
      <rPr>
        <b/>
        <sz val="14"/>
        <color theme="1"/>
        <rFont val="宋体"/>
        <family val="2"/>
      </rPr>
      <t>→</t>
    </r>
    <r>
      <rPr>
        <b/>
        <sz val="14"/>
        <color theme="1"/>
        <rFont val="Calibri"/>
        <family val="2"/>
      </rPr>
      <t xml:space="preserve"> AFFO Bridge — Inputs</t>
    </r>
  </si>
  <si>
    <r>
      <t>• Paste NOI(pre-amort.) from Lease</t>
    </r>
    <r>
      <rPr>
        <i/>
        <sz val="9"/>
        <color rgb="FF000555"/>
        <rFont val="宋体"/>
        <family val="2"/>
      </rPr>
      <t>→</t>
    </r>
    <r>
      <rPr>
        <i/>
        <sz val="9"/>
        <color rgb="FF000555"/>
        <rFont val="Calibri"/>
        <family val="2"/>
      </rPr>
      <t>NOI; negatives reduce AFFO.</t>
    </r>
  </si>
  <si>
    <t>Year Base</t>
    <phoneticPr fontId="1" type="noConversion"/>
  </si>
  <si>
    <t>Year Upside</t>
    <phoneticPr fontId="1" type="noConversion"/>
  </si>
  <si>
    <t>Year Downside</t>
    <phoneticPr fontId="1" type="noConversion"/>
  </si>
  <si>
    <t>Q1 Base</t>
    <phoneticPr fontId="1" type="noConversion"/>
  </si>
  <si>
    <t>Q1 Upside</t>
    <phoneticPr fontId="1" type="noConversion"/>
  </si>
  <si>
    <t>Q1 Downside</t>
    <phoneticPr fontId="1" type="noConversion"/>
  </si>
  <si>
    <r>
      <t xml:space="preserve">NOI </t>
    </r>
    <r>
      <rPr>
        <b/>
        <sz val="14"/>
        <color theme="1"/>
        <rFont val="宋体"/>
        <family val="2"/>
      </rPr>
      <t>→</t>
    </r>
    <r>
      <rPr>
        <b/>
        <sz val="14"/>
        <color theme="1"/>
        <rFont val="Calibri"/>
        <family val="2"/>
      </rPr>
      <t xml:space="preserve"> AFFO Waterfall (Year, Base)</t>
    </r>
  </si>
  <si>
    <t>NOI</t>
    <phoneticPr fontId="1" type="noConversion"/>
  </si>
  <si>
    <t>EBITDAre</t>
    <phoneticPr fontId="1" type="noConversion"/>
  </si>
  <si>
    <t>FFO (light)</t>
    <phoneticPr fontId="1" type="noConversion"/>
  </si>
  <si>
    <t>FFO Bridge</t>
    <phoneticPr fontId="1" type="noConversion"/>
  </si>
  <si>
    <t>AFFO</t>
    <phoneticPr fontId="1" type="noConversion"/>
  </si>
  <si>
    <t>Base</t>
    <phoneticPr fontId="1" type="noConversion"/>
  </si>
  <si>
    <t>Upside</t>
    <phoneticPr fontId="1" type="noConversion"/>
  </si>
  <si>
    <t>Downside</t>
    <phoneticPr fontId="1" type="noConversion"/>
  </si>
  <si>
    <t>Consolidated Bridge</t>
    <phoneticPr fontId="1" type="noConversion"/>
  </si>
  <si>
    <t xml:space="preserve">EBITDAre </t>
    <phoneticPr fontId="1" type="noConversion"/>
  </si>
  <si>
    <t>(NOI minus corporate items)</t>
  </si>
  <si>
    <r>
      <t xml:space="preserve"> (EBITDAre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Calibri"/>
        <family val="2"/>
      </rPr>
      <t xml:space="preserve"> FFO)</t>
    </r>
  </si>
  <si>
    <t xml:space="preserve">AFFO Bridge </t>
    <phoneticPr fontId="1" type="noConversion"/>
  </si>
  <si>
    <r>
      <t xml:space="preserve">(FFO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Calibri"/>
        <family val="2"/>
      </rPr>
      <t xml:space="preserve"> AFFO)</t>
    </r>
  </si>
  <si>
    <r>
      <t xml:space="preserve"> NOI </t>
    </r>
    <r>
      <rPr>
        <b/>
        <sz val="11"/>
        <color theme="1"/>
        <rFont val="宋体"/>
        <family val="3"/>
        <charset val="134"/>
      </rPr>
      <t>→</t>
    </r>
    <r>
      <rPr>
        <b/>
        <sz val="11"/>
        <color theme="1"/>
        <rFont val="Calibri"/>
        <family val="2"/>
      </rPr>
      <t xml:space="preserve"> (EBITDAre) </t>
    </r>
    <r>
      <rPr>
        <b/>
        <sz val="11"/>
        <color theme="1"/>
        <rFont val="宋体"/>
        <family val="3"/>
        <charset val="134"/>
      </rPr>
      <t>→</t>
    </r>
    <r>
      <rPr>
        <b/>
        <sz val="11"/>
        <color theme="1"/>
        <rFont val="Calibri"/>
        <family val="2"/>
      </rPr>
      <t xml:space="preserve"> FFO </t>
    </r>
    <r>
      <rPr>
        <b/>
        <sz val="11"/>
        <color theme="1"/>
        <rFont val="宋体"/>
        <family val="3"/>
        <charset val="134"/>
      </rPr>
      <t>→</t>
    </r>
    <r>
      <rPr>
        <b/>
        <sz val="11"/>
        <color theme="1"/>
        <rFont val="Calibri"/>
        <family val="2"/>
      </rPr>
      <t xml:space="preserve"> AFFO</t>
    </r>
  </si>
  <si>
    <t>prioritise Payout policy</t>
    <phoneticPr fontId="1" type="noConversion"/>
  </si>
  <si>
    <t>MAX(policy,override)</t>
    <phoneticPr fontId="1" type="noConversion"/>
  </si>
  <si>
    <t>MIN(policy,override)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</si>
</sst>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83" formatCode="0.0000000000000%"/>
  </numFmts>
  <fonts count="1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Calibri"/>
      <family val="2"/>
    </font>
    <font>
      <b/>
      <sz val="14"/>
      <color theme="1"/>
      <name val="宋体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宋体"/>
      <family val="2"/>
    </font>
    <font>
      <b/>
      <sz val="11"/>
      <color theme="1"/>
      <name val="Calibri"/>
      <family val="2"/>
    </font>
    <font>
      <i/>
      <sz val="9"/>
      <color rgb="FF000555"/>
      <name val="Calibri"/>
      <family val="2"/>
    </font>
    <font>
      <i/>
      <sz val="9"/>
      <color rgb="FF000555"/>
      <name val="宋体"/>
      <family val="2"/>
    </font>
    <font>
      <b/>
      <sz val="11"/>
      <color theme="0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7" fillId="3" borderId="1" xfId="0" applyFont="1" applyFill="1" applyBorder="1"/>
    <xf numFmtId="3" fontId="4" fillId="0" borderId="0" xfId="0" applyNumberFormat="1" applyFont="1"/>
    <xf numFmtId="0" fontId="8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76" fontId="4" fillId="0" borderId="0" xfId="0" applyNumberFormat="1" applyFont="1"/>
    <xf numFmtId="10" fontId="4" fillId="0" borderId="0" xfId="0" applyNumberFormat="1" applyFont="1"/>
    <xf numFmtId="0" fontId="7" fillId="0" borderId="0" xfId="0" applyFont="1"/>
    <xf numFmtId="0" fontId="7" fillId="3" borderId="0" xfId="0" applyFont="1" applyFill="1" applyAlignment="1">
      <alignment horizontal="left"/>
    </xf>
    <xf numFmtId="0" fontId="7" fillId="3" borderId="0" xfId="0" applyFont="1" applyFill="1"/>
    <xf numFmtId="176" fontId="7" fillId="0" borderId="0" xfId="0" applyNumberFormat="1" applyFont="1"/>
    <xf numFmtId="0" fontId="4" fillId="6" borderId="1" xfId="0" applyFont="1" applyFill="1" applyBorder="1"/>
    <xf numFmtId="3" fontId="4" fillId="6" borderId="0" xfId="0" applyNumberFormat="1" applyFont="1" applyFill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4" fontId="4" fillId="0" borderId="0" xfId="0" applyNumberFormat="1" applyFont="1"/>
    <xf numFmtId="10" fontId="4" fillId="0" borderId="0" xfId="1" applyNumberFormat="1" applyFont="1" applyAlignment="1"/>
    <xf numFmtId="0" fontId="14" fillId="0" borderId="0" xfId="0" applyFont="1"/>
    <xf numFmtId="183" fontId="4" fillId="0" borderId="0" xfId="0" applyNumberFormat="1" applyFont="1"/>
    <xf numFmtId="0" fontId="4" fillId="0" borderId="0" xfId="0" applyFont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NOI → AFFO (Year, Base)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Year Base Bridge</c:v>
          </c:tx>
          <c:invertIfNegative val="0"/>
          <c:cat>
            <c:strRef>
              <c:f>Bridge_Chart!$A$4:$A$16</c:f>
              <c:strCache>
                <c:ptCount val="13"/>
                <c:pt idx="0">
                  <c:v>Cash NOI (pre-amort.)</c:v>
                </c:pt>
                <c:pt idx="1">
                  <c:v>TI Amort.</c:v>
                </c:pt>
                <c:pt idx="2">
                  <c:v>LC Amort.</c:v>
                </c:pt>
                <c:pt idx="3">
                  <c:v>NOI</c:v>
                </c:pt>
                <c:pt idx="4">
                  <c:v>G&amp;A</c:v>
                </c:pt>
                <c:pt idx="5">
                  <c:v>Mgmt Fee</c:v>
                </c:pt>
                <c:pt idx="6">
                  <c:v>Other Op.Adj.</c:v>
                </c:pt>
                <c:pt idx="7">
                  <c:v>Interest</c:v>
                </c:pt>
                <c:pt idx="8">
                  <c:v>FFO (light)</c:v>
                </c:pt>
                <c:pt idx="9">
                  <c:v>Recurring Capex</c:v>
                </c:pt>
                <c:pt idx="10">
                  <c:v>Straight-line Adj.</c:v>
                </c:pt>
                <c:pt idx="11">
                  <c:v>Leasing Costs</c:v>
                </c:pt>
                <c:pt idx="12">
                  <c:v>AFFO</c:v>
                </c:pt>
              </c:strCache>
            </c:strRef>
          </c:cat>
          <c:val>
            <c:numRef>
              <c:f>Bridge_Chart!$B$4:$B$16</c:f>
              <c:numCache>
                <c:formatCode>#,##0</c:formatCode>
                <c:ptCount val="13"/>
                <c:pt idx="0">
                  <c:v>386003.46699373442</c:v>
                </c:pt>
                <c:pt idx="1">
                  <c:v>-40000</c:v>
                </c:pt>
                <c:pt idx="2">
                  <c:v>-24583.333333333336</c:v>
                </c:pt>
                <c:pt idx="3">
                  <c:v>321420.1336604011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-312500</c:v>
                </c:pt>
                <c:pt idx="8">
                  <c:v>8920.1336604011012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8920.1336604011012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0-42DF-AF15-12C46776E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NOI - AFFO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NOI - AFFO Waterfall</a:t>
          </a:r>
        </a:p>
      </cx:txPr>
    </cx:title>
    <cx:plotArea>
      <cx:plotAreaRegion>
        <cx:series layoutId="waterfall" uniqueId="{42BE17DC-7121-416E-8679-D29376CF2251}">
          <cx:tx>
            <cx:txData>
              <cx:f>_xlchart.v1.1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8"/>
              <cx:idx val="1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zh-CN" alt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  <a:ea typeface="宋体" panose="02010600030101010101" pitchFamily="2" charset="-122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1</xdr:row>
      <xdr:rowOff>38100</xdr:rowOff>
    </xdr:from>
    <xdr:to>
      <xdr:col>15</xdr:col>
      <xdr:colOff>161925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571359</xdr:colOff>
      <xdr:row>1</xdr:row>
      <xdr:rowOff>35998</xdr:rowOff>
    </xdr:from>
    <xdr:to>
      <xdr:col>15</xdr:col>
      <xdr:colOff>254654</xdr:colOff>
      <xdr:row>22</xdr:row>
      <xdr:rowOff>6722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734D1D12-63F0-4224-0AFA-56369B8D88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659" y="274123"/>
              <a:ext cx="8103395" cy="3771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2A47-4386-4864-8394-C391F432718F}">
  <dimension ref="A1:G17"/>
  <sheetViews>
    <sheetView tabSelected="1" workbookViewId="0">
      <selection activeCell="F22" sqref="F22"/>
    </sheetView>
  </sheetViews>
  <sheetFormatPr defaultRowHeight="14.25" x14ac:dyDescent="0.45"/>
  <cols>
    <col min="1" max="1" width="24.33203125" style="2" customWidth="1"/>
    <col min="2" max="7" width="12.33203125" style="2" customWidth="1"/>
    <col min="8" max="16384" width="9.06640625" style="2"/>
  </cols>
  <sheetData>
    <row r="1" spans="1:7" ht="18.75" x14ac:dyDescent="0.55000000000000004">
      <c r="A1" s="1" t="s">
        <v>94</v>
      </c>
    </row>
    <row r="3" spans="1:7" s="9" customFormat="1" x14ac:dyDescent="0.45">
      <c r="A3" s="8" t="s">
        <v>0</v>
      </c>
      <c r="B3" s="10" t="s">
        <v>99</v>
      </c>
      <c r="C3" s="11" t="s">
        <v>100</v>
      </c>
      <c r="D3" s="12" t="s">
        <v>101</v>
      </c>
      <c r="E3" s="10" t="s">
        <v>96</v>
      </c>
      <c r="F3" s="11" t="s">
        <v>97</v>
      </c>
      <c r="G3" s="12" t="s">
        <v>98</v>
      </c>
    </row>
    <row r="4" spans="1:7" x14ac:dyDescent="0.45">
      <c r="A4" s="5" t="s">
        <v>7</v>
      </c>
      <c r="B4" s="13">
        <v>27280.8559551781</v>
      </c>
      <c r="C4" s="13">
        <v>29702.94056792745</v>
      </c>
      <c r="D4" s="13">
        <v>-23186.764111213259</v>
      </c>
      <c r="E4" s="13">
        <v>386003.46699373442</v>
      </c>
      <c r="F4" s="13">
        <v>404134.05629014131</v>
      </c>
      <c r="G4" s="13">
        <v>315479.61002203939</v>
      </c>
    </row>
    <row r="5" spans="1:7" x14ac:dyDescent="0.45">
      <c r="A5" s="5" t="s">
        <v>8</v>
      </c>
      <c r="B5" s="13">
        <v>-10000</v>
      </c>
      <c r="C5" s="13">
        <v>-10000</v>
      </c>
      <c r="D5" s="13">
        <v>-10000</v>
      </c>
      <c r="E5" s="13">
        <v>-40000</v>
      </c>
      <c r="F5" s="13">
        <v>-40000</v>
      </c>
      <c r="G5" s="13">
        <v>-40000</v>
      </c>
    </row>
    <row r="6" spans="1:7" x14ac:dyDescent="0.45">
      <c r="A6" s="5" t="s">
        <v>9</v>
      </c>
      <c r="B6" s="13">
        <v>-6145.8333333333339</v>
      </c>
      <c r="C6" s="13">
        <v>-6145.8333333333339</v>
      </c>
      <c r="D6" s="13">
        <v>-6145.8333333333339</v>
      </c>
      <c r="E6" s="13">
        <v>-24583.333333333336</v>
      </c>
      <c r="F6" s="13">
        <v>-24583.333333333336</v>
      </c>
      <c r="G6" s="13">
        <v>-24583.333333333336</v>
      </c>
    </row>
    <row r="7" spans="1:7" x14ac:dyDescent="0.45">
      <c r="A7" s="5" t="s">
        <v>10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45">
      <c r="A8" s="5" t="s">
        <v>11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</row>
    <row r="9" spans="1:7" x14ac:dyDescent="0.45">
      <c r="A9" s="5" t="s">
        <v>12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45">
      <c r="A10" s="5" t="s">
        <v>13</v>
      </c>
      <c r="B10" s="13">
        <v>-78125</v>
      </c>
      <c r="C10" s="13">
        <v>-78125</v>
      </c>
      <c r="D10" s="13">
        <v>-78125</v>
      </c>
      <c r="E10" s="13">
        <v>-312500</v>
      </c>
      <c r="F10" s="13">
        <v>-312500</v>
      </c>
      <c r="G10" s="13">
        <v>-312500</v>
      </c>
    </row>
    <row r="11" spans="1:7" x14ac:dyDescent="0.45">
      <c r="A11" s="5" t="s">
        <v>14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45">
      <c r="A12" s="5" t="s">
        <v>15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45">
      <c r="A13" s="5" t="s">
        <v>16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5" spans="1:7" x14ac:dyDescent="0.45">
      <c r="A15" s="5" t="s">
        <v>17</v>
      </c>
    </row>
    <row r="16" spans="1:7" x14ac:dyDescent="0.45">
      <c r="A16" s="7" t="s">
        <v>95</v>
      </c>
    </row>
    <row r="17" spans="1:1" x14ac:dyDescent="0.45">
      <c r="A17" s="7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showGridLines="0" workbookViewId="0">
      <selection activeCell="J12" sqref="J12"/>
    </sheetView>
  </sheetViews>
  <sheetFormatPr defaultRowHeight="14.25" x14ac:dyDescent="0.45"/>
  <cols>
    <col min="1" max="1" width="1.59765625" style="2" customWidth="1"/>
    <col min="2" max="2" width="32.73046875" style="2" customWidth="1"/>
    <col min="3" max="8" width="12.86328125" style="2" customWidth="1"/>
    <col min="9" max="16384" width="9.06640625" style="2"/>
  </cols>
  <sheetData>
    <row r="1" spans="1:8" ht="18" x14ac:dyDescent="0.55000000000000004">
      <c r="B1" s="1" t="s">
        <v>111</v>
      </c>
    </row>
    <row r="3" spans="1:8" x14ac:dyDescent="0.45">
      <c r="A3" s="21" t="s">
        <v>32</v>
      </c>
      <c r="B3" s="22"/>
      <c r="C3" s="10" t="s">
        <v>99</v>
      </c>
      <c r="D3" s="11" t="s">
        <v>100</v>
      </c>
      <c r="E3" s="12" t="s">
        <v>101</v>
      </c>
      <c r="F3" s="10" t="s">
        <v>96</v>
      </c>
      <c r="G3" s="11" t="s">
        <v>97</v>
      </c>
      <c r="H3" s="12" t="s">
        <v>98</v>
      </c>
    </row>
    <row r="4" spans="1:8" ht="14.65" customHeight="1" x14ac:dyDescent="0.45">
      <c r="A4" s="15" t="s">
        <v>117</v>
      </c>
      <c r="C4" s="13"/>
      <c r="D4" s="13"/>
      <c r="E4" s="13"/>
      <c r="F4" s="13"/>
      <c r="G4" s="13"/>
      <c r="H4" s="13"/>
    </row>
    <row r="5" spans="1:8" x14ac:dyDescent="0.45">
      <c r="B5" s="2" t="s">
        <v>7</v>
      </c>
      <c r="C5" s="13">
        <f>Bridge_Inputs!B4</f>
        <v>27280.8559551781</v>
      </c>
      <c r="D5" s="13">
        <f>Bridge_Inputs!C4</f>
        <v>29702.94056792745</v>
      </c>
      <c r="E5" s="13">
        <f>Bridge_Inputs!D4</f>
        <v>-23186.764111213259</v>
      </c>
      <c r="F5" s="13">
        <f>Bridge_Inputs!E4</f>
        <v>386003.46699373442</v>
      </c>
      <c r="G5" s="13">
        <f>Bridge_Inputs!F4</f>
        <v>404134.05629014131</v>
      </c>
      <c r="H5" s="13">
        <f>Bridge_Inputs!G4</f>
        <v>315479.61002203939</v>
      </c>
    </row>
    <row r="6" spans="1:8" x14ac:dyDescent="0.45">
      <c r="B6" s="2" t="s">
        <v>33</v>
      </c>
      <c r="C6" s="13">
        <f>Bridge_Inputs!B5</f>
        <v>-10000</v>
      </c>
      <c r="D6" s="13">
        <f>Bridge_Inputs!C5</f>
        <v>-10000</v>
      </c>
      <c r="E6" s="13">
        <f>Bridge_Inputs!D5</f>
        <v>-10000</v>
      </c>
      <c r="F6" s="13">
        <f>Bridge_Inputs!E5</f>
        <v>-40000</v>
      </c>
      <c r="G6" s="13">
        <f>Bridge_Inputs!F5</f>
        <v>-40000</v>
      </c>
      <c r="H6" s="13">
        <f>Bridge_Inputs!G5</f>
        <v>-40000</v>
      </c>
    </row>
    <row r="7" spans="1:8" x14ac:dyDescent="0.45">
      <c r="B7" s="2" t="s">
        <v>34</v>
      </c>
      <c r="C7" s="13">
        <f>Bridge_Inputs!B6</f>
        <v>-6145.8333333333339</v>
      </c>
      <c r="D7" s="13">
        <f>Bridge_Inputs!C6</f>
        <v>-6145.8333333333339</v>
      </c>
      <c r="E7" s="13">
        <f>Bridge_Inputs!D6</f>
        <v>-6145.8333333333339</v>
      </c>
      <c r="F7" s="13">
        <f>Bridge_Inputs!E6</f>
        <v>-24583.333333333336</v>
      </c>
      <c r="G7" s="13">
        <f>Bridge_Inputs!F6</f>
        <v>-24583.333333333336</v>
      </c>
      <c r="H7" s="13">
        <f>Bridge_Inputs!G6</f>
        <v>-24583.333333333336</v>
      </c>
    </row>
    <row r="8" spans="1:8" s="15" customFormat="1" x14ac:dyDescent="0.45">
      <c r="B8" s="16" t="s">
        <v>103</v>
      </c>
      <c r="C8" s="18">
        <f>SUM(C5:C7)</f>
        <v>11135.022621844766</v>
      </c>
      <c r="D8" s="18">
        <f t="shared" ref="D8:H8" si="0">SUM(D5:D7)</f>
        <v>13557.107234594116</v>
      </c>
      <c r="E8" s="18">
        <f t="shared" si="0"/>
        <v>-39332.597444546591</v>
      </c>
      <c r="F8" s="18">
        <f t="shared" si="0"/>
        <v>321420.1336604011</v>
      </c>
      <c r="G8" s="18">
        <f t="shared" si="0"/>
        <v>339550.72295680799</v>
      </c>
      <c r="H8" s="18">
        <f t="shared" si="0"/>
        <v>250896.27668870604</v>
      </c>
    </row>
    <row r="9" spans="1:8" customFormat="1" ht="13.5" x14ac:dyDescent="0.3"/>
    <row r="10" spans="1:8" x14ac:dyDescent="0.45">
      <c r="B10" s="2" t="s">
        <v>21</v>
      </c>
      <c r="C10" s="13">
        <f>Bridge_Inputs!B7</f>
        <v>0</v>
      </c>
      <c r="D10" s="13">
        <f>Bridge_Inputs!C7</f>
        <v>0</v>
      </c>
      <c r="E10" s="13">
        <f>Bridge_Inputs!D7</f>
        <v>0</v>
      </c>
      <c r="F10" s="13">
        <f>Bridge_Inputs!E7</f>
        <v>0</v>
      </c>
      <c r="G10" s="13">
        <f>Bridge_Inputs!F7</f>
        <v>0</v>
      </c>
      <c r="H10" s="13">
        <f>Bridge_Inputs!G7</f>
        <v>0</v>
      </c>
    </row>
    <row r="11" spans="1:8" x14ac:dyDescent="0.45">
      <c r="B11" s="2" t="s">
        <v>22</v>
      </c>
      <c r="C11" s="13">
        <f>Bridge_Inputs!B8</f>
        <v>0</v>
      </c>
      <c r="D11" s="13">
        <f>Bridge_Inputs!C8</f>
        <v>0</v>
      </c>
      <c r="E11" s="13">
        <f>Bridge_Inputs!D8</f>
        <v>0</v>
      </c>
      <c r="F11" s="13">
        <f>Bridge_Inputs!E8</f>
        <v>0</v>
      </c>
      <c r="G11" s="13">
        <f>Bridge_Inputs!F8</f>
        <v>0</v>
      </c>
      <c r="H11" s="13">
        <f>Bridge_Inputs!G8</f>
        <v>0</v>
      </c>
    </row>
    <row r="12" spans="1:8" x14ac:dyDescent="0.45">
      <c r="B12" s="2" t="s">
        <v>35</v>
      </c>
      <c r="C12" s="13">
        <f>Bridge_Inputs!B9</f>
        <v>0</v>
      </c>
      <c r="D12" s="13">
        <f>Bridge_Inputs!C9</f>
        <v>0</v>
      </c>
      <c r="E12" s="13">
        <f>Bridge_Inputs!D9</f>
        <v>0</v>
      </c>
      <c r="F12" s="13">
        <f>Bridge_Inputs!E9</f>
        <v>0</v>
      </c>
      <c r="G12" s="13">
        <f>Bridge_Inputs!F9</f>
        <v>0</v>
      </c>
      <c r="H12" s="13">
        <f>Bridge_Inputs!G9</f>
        <v>0</v>
      </c>
    </row>
    <row r="13" spans="1:8" x14ac:dyDescent="0.45">
      <c r="B13" s="2" t="s">
        <v>25</v>
      </c>
      <c r="C13" s="13">
        <f>Bridge_Inputs!B10</f>
        <v>-78125</v>
      </c>
      <c r="D13" s="13">
        <f>Bridge_Inputs!C10</f>
        <v>-78125</v>
      </c>
      <c r="E13" s="13">
        <f>Bridge_Inputs!D10</f>
        <v>-78125</v>
      </c>
      <c r="F13" s="13">
        <f>Bridge_Inputs!E10</f>
        <v>-312500</v>
      </c>
      <c r="G13" s="13">
        <f>Bridge_Inputs!F10</f>
        <v>-312500</v>
      </c>
      <c r="H13" s="13">
        <f>Bridge_Inputs!G10</f>
        <v>-312500</v>
      </c>
    </row>
    <row r="14" spans="1:8" s="15" customFormat="1" x14ac:dyDescent="0.45">
      <c r="B14" s="17" t="s">
        <v>105</v>
      </c>
      <c r="C14" s="18">
        <f>SUM(C8:C13)</f>
        <v>-66989.977378155236</v>
      </c>
      <c r="D14" s="18">
        <f>SUM(D8:D13)</f>
        <v>-64567.892765405886</v>
      </c>
      <c r="E14" s="18">
        <f>SUM(E8:E13)</f>
        <v>-117457.59744454658</v>
      </c>
      <c r="F14" s="18">
        <f>SUM(F8:F13)</f>
        <v>8920.1336604011012</v>
      </c>
      <c r="G14" s="18">
        <f>SUM(G8:G13)</f>
        <v>27050.722956807993</v>
      </c>
      <c r="H14" s="18">
        <f>SUM(H8:H13)</f>
        <v>-61603.723311293958</v>
      </c>
    </row>
    <row r="15" spans="1:8" x14ac:dyDescent="0.45">
      <c r="C15" s="13"/>
      <c r="D15" s="13"/>
      <c r="E15" s="13"/>
      <c r="F15" s="13"/>
      <c r="G15" s="13"/>
      <c r="H15" s="13"/>
    </row>
    <row r="16" spans="1:8" x14ac:dyDescent="0.45">
      <c r="B16" s="2" t="s">
        <v>36</v>
      </c>
      <c r="C16" s="13">
        <f>Bridge_Inputs!B11</f>
        <v>0</v>
      </c>
      <c r="D16" s="13">
        <f>Bridge_Inputs!C11</f>
        <v>0</v>
      </c>
      <c r="E16" s="13">
        <f>Bridge_Inputs!D11</f>
        <v>0</v>
      </c>
      <c r="F16" s="13">
        <f>Bridge_Inputs!E11</f>
        <v>0</v>
      </c>
      <c r="G16" s="13">
        <f>Bridge_Inputs!F11</f>
        <v>0</v>
      </c>
      <c r="H16" s="13">
        <f>Bridge_Inputs!G11</f>
        <v>0</v>
      </c>
    </row>
    <row r="17" spans="2:8" x14ac:dyDescent="0.45">
      <c r="B17" s="2" t="s">
        <v>30</v>
      </c>
      <c r="C17" s="13">
        <f>Bridge_Inputs!B12</f>
        <v>0</v>
      </c>
      <c r="D17" s="13">
        <f>Bridge_Inputs!C12</f>
        <v>0</v>
      </c>
      <c r="E17" s="13">
        <f>Bridge_Inputs!D12</f>
        <v>0</v>
      </c>
      <c r="F17" s="13">
        <f>Bridge_Inputs!E12</f>
        <v>0</v>
      </c>
      <c r="G17" s="13">
        <f>Bridge_Inputs!F12</f>
        <v>0</v>
      </c>
      <c r="H17" s="13">
        <f>Bridge_Inputs!G12</f>
        <v>0</v>
      </c>
    </row>
    <row r="18" spans="2:8" x14ac:dyDescent="0.45">
      <c r="B18" s="2" t="s">
        <v>37</v>
      </c>
      <c r="C18" s="13">
        <f>Bridge_Inputs!B13</f>
        <v>0</v>
      </c>
      <c r="D18" s="13">
        <f>Bridge_Inputs!C13</f>
        <v>0</v>
      </c>
      <c r="E18" s="13">
        <f>Bridge_Inputs!D13</f>
        <v>0</v>
      </c>
      <c r="F18" s="13">
        <f>Bridge_Inputs!E13</f>
        <v>0</v>
      </c>
      <c r="G18" s="13">
        <f>Bridge_Inputs!F13</f>
        <v>0</v>
      </c>
      <c r="H18" s="13">
        <f>Bridge_Inputs!G13</f>
        <v>0</v>
      </c>
    </row>
    <row r="19" spans="2:8" s="15" customFormat="1" x14ac:dyDescent="0.45">
      <c r="B19" s="17" t="s">
        <v>107</v>
      </c>
      <c r="C19" s="18">
        <f>SUM(C14:C18)</f>
        <v>-66989.977378155236</v>
      </c>
      <c r="D19" s="18">
        <f t="shared" ref="D19:H19" si="1">SUM(D14:D18)</f>
        <v>-64567.892765405886</v>
      </c>
      <c r="E19" s="18">
        <f t="shared" si="1"/>
        <v>-117457.59744454658</v>
      </c>
      <c r="F19" s="18">
        <f t="shared" si="1"/>
        <v>8920.1336604011012</v>
      </c>
      <c r="G19" s="18">
        <f t="shared" si="1"/>
        <v>27050.722956807993</v>
      </c>
      <c r="H19" s="18">
        <f t="shared" si="1"/>
        <v>-61603.723311293958</v>
      </c>
    </row>
  </sheetData>
  <mergeCells count="1">
    <mergeCell ref="A3:B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C18" sqref="C18"/>
    </sheetView>
  </sheetViews>
  <sheetFormatPr defaultRowHeight="14.25" x14ac:dyDescent="0.45"/>
  <cols>
    <col min="1" max="1" width="28.73046875" style="2" customWidth="1"/>
    <col min="2" max="7" width="18.73046875" style="2" customWidth="1"/>
    <col min="8" max="16384" width="9.06640625" style="2"/>
  </cols>
  <sheetData>
    <row r="1" spans="1:7" ht="18" x14ac:dyDescent="0.55000000000000004">
      <c r="A1" s="1" t="s">
        <v>112</v>
      </c>
    </row>
    <row r="2" spans="1:7" x14ac:dyDescent="0.45">
      <c r="A2" s="2" t="s">
        <v>113</v>
      </c>
    </row>
    <row r="4" spans="1:7" x14ac:dyDescent="0.45">
      <c r="A4" s="3" t="s">
        <v>19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x14ac:dyDescent="0.45">
      <c r="A5" s="4" t="s">
        <v>20</v>
      </c>
      <c r="B5" s="6">
        <f>SUM(Bridge_Inputs!B4:B6)</f>
        <v>11135.022621844766</v>
      </c>
      <c r="C5" s="6">
        <f>SUM(Bridge_Inputs!C4:C6)</f>
        <v>13557.107234594116</v>
      </c>
      <c r="D5" s="6">
        <f>SUM(Bridge_Inputs!D4:D6)</f>
        <v>-39332.597444546591</v>
      </c>
      <c r="E5" s="6">
        <f>SUM(Bridge_Inputs!E4:E6)</f>
        <v>321420.1336604011</v>
      </c>
      <c r="F5" s="6">
        <f>SUM(Bridge_Inputs!F4:F6)</f>
        <v>339550.72295680799</v>
      </c>
      <c r="G5" s="6">
        <f>SUM(Bridge_Inputs!G4:G6)</f>
        <v>250896.27668870604</v>
      </c>
    </row>
    <row r="6" spans="1:7" x14ac:dyDescent="0.45">
      <c r="A6" s="5" t="s">
        <v>21</v>
      </c>
      <c r="B6" s="6">
        <f>Bridge_Inputs!B7</f>
        <v>0</v>
      </c>
      <c r="C6" s="6">
        <f>Bridge_Inputs!C7</f>
        <v>0</v>
      </c>
      <c r="D6" s="6">
        <f>Bridge_Inputs!D7</f>
        <v>0</v>
      </c>
      <c r="E6" s="6">
        <f>Bridge_Inputs!E7</f>
        <v>0</v>
      </c>
      <c r="F6" s="6">
        <f>Bridge_Inputs!F7</f>
        <v>0</v>
      </c>
      <c r="G6" s="6">
        <f>Bridge_Inputs!G7</f>
        <v>0</v>
      </c>
    </row>
    <row r="7" spans="1:7" x14ac:dyDescent="0.45">
      <c r="A7" s="5" t="s">
        <v>22</v>
      </c>
      <c r="B7" s="6">
        <f>Bridge_Inputs!B8</f>
        <v>0</v>
      </c>
      <c r="C7" s="6">
        <f>Bridge_Inputs!C8</f>
        <v>0</v>
      </c>
      <c r="D7" s="6">
        <f>Bridge_Inputs!D8</f>
        <v>0</v>
      </c>
      <c r="E7" s="6">
        <f>Bridge_Inputs!E8</f>
        <v>0</v>
      </c>
      <c r="F7" s="6">
        <f>Bridge_Inputs!F8</f>
        <v>0</v>
      </c>
      <c r="G7" s="6">
        <f>Bridge_Inputs!G8</f>
        <v>0</v>
      </c>
    </row>
    <row r="8" spans="1:7" x14ac:dyDescent="0.45">
      <c r="A8" s="4" t="s">
        <v>23</v>
      </c>
      <c r="B8" s="6">
        <f>Bridge_Inputs!B9</f>
        <v>0</v>
      </c>
      <c r="C8" s="6">
        <f>Bridge_Inputs!C9</f>
        <v>0</v>
      </c>
      <c r="D8" s="6">
        <f>Bridge_Inputs!D9</f>
        <v>0</v>
      </c>
      <c r="E8" s="6">
        <f>Bridge_Inputs!E9</f>
        <v>0</v>
      </c>
      <c r="F8" s="6">
        <f>Bridge_Inputs!F9</f>
        <v>0</v>
      </c>
      <c r="G8" s="6">
        <f>Bridge_Inputs!G9</f>
        <v>0</v>
      </c>
    </row>
    <row r="9" spans="1:7" x14ac:dyDescent="0.45">
      <c r="A9" s="5" t="s">
        <v>104</v>
      </c>
      <c r="B9" s="6">
        <f t="shared" ref="B9:G9" si="0">SUM(B5:B8)</f>
        <v>11135.022621844766</v>
      </c>
      <c r="C9" s="6">
        <f t="shared" si="0"/>
        <v>13557.107234594116</v>
      </c>
      <c r="D9" s="6">
        <f t="shared" si="0"/>
        <v>-39332.597444546591</v>
      </c>
      <c r="E9" s="6">
        <f t="shared" si="0"/>
        <v>321420.1336604011</v>
      </c>
      <c r="F9" s="6">
        <f t="shared" si="0"/>
        <v>339550.72295680799</v>
      </c>
      <c r="G9" s="6">
        <f t="shared" si="0"/>
        <v>250896.27668870604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B9" sqref="B9"/>
    </sheetView>
  </sheetViews>
  <sheetFormatPr defaultRowHeight="14.25" x14ac:dyDescent="0.45"/>
  <cols>
    <col min="1" max="1" width="34.73046875" style="2" customWidth="1"/>
    <col min="2" max="7" width="18.73046875" style="2" customWidth="1"/>
    <col min="8" max="16384" width="9.06640625" style="2"/>
  </cols>
  <sheetData>
    <row r="1" spans="1:7" ht="18" x14ac:dyDescent="0.55000000000000004">
      <c r="A1" s="1" t="s">
        <v>106</v>
      </c>
    </row>
    <row r="2" spans="1:7" ht="14.65" x14ac:dyDescent="0.45">
      <c r="A2" s="2" t="s">
        <v>114</v>
      </c>
    </row>
    <row r="4" spans="1:7" x14ac:dyDescent="0.45">
      <c r="A4" s="3" t="s">
        <v>19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x14ac:dyDescent="0.45">
      <c r="A5" s="4" t="s">
        <v>24</v>
      </c>
      <c r="B5" s="6">
        <f>EBITDAre!B9</f>
        <v>11135.022621844766</v>
      </c>
      <c r="C5" s="6">
        <f>EBITDAre!C9</f>
        <v>13557.107234594116</v>
      </c>
      <c r="D5" s="6">
        <f>EBITDAre!D9</f>
        <v>-39332.597444546591</v>
      </c>
      <c r="E5" s="6">
        <f>EBITDAre!E9</f>
        <v>321420.1336604011</v>
      </c>
      <c r="F5" s="6">
        <f>EBITDAre!F9</f>
        <v>339550.72295680799</v>
      </c>
      <c r="G5" s="6">
        <f>EBITDAre!G9</f>
        <v>250896.27668870604</v>
      </c>
    </row>
    <row r="6" spans="1:7" x14ac:dyDescent="0.45">
      <c r="A6" s="5" t="s">
        <v>25</v>
      </c>
      <c r="B6" s="6">
        <f>Bridge_Inputs!B10</f>
        <v>-78125</v>
      </c>
      <c r="C6" s="6">
        <f>Bridge_Inputs!C10</f>
        <v>-78125</v>
      </c>
      <c r="D6" s="6">
        <f>Bridge_Inputs!D10</f>
        <v>-78125</v>
      </c>
      <c r="E6" s="6">
        <f>Bridge_Inputs!E10</f>
        <v>-312500</v>
      </c>
      <c r="F6" s="6">
        <f>Bridge_Inputs!F10</f>
        <v>-312500</v>
      </c>
      <c r="G6" s="6">
        <f>Bridge_Inputs!G10</f>
        <v>-312500</v>
      </c>
    </row>
    <row r="7" spans="1:7" x14ac:dyDescent="0.45">
      <c r="A7" s="5" t="s">
        <v>26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</row>
    <row r="8" spans="1:7" x14ac:dyDescent="0.45">
      <c r="A8" s="4" t="s">
        <v>27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7" x14ac:dyDescent="0.45">
      <c r="A9" s="5" t="s">
        <v>105</v>
      </c>
      <c r="B9" s="6">
        <f>SUM(B5:B8)</f>
        <v>-66989.977378155236</v>
      </c>
      <c r="C9" s="6">
        <f t="shared" ref="C9:G9" si="0">SUM(C5:C8)</f>
        <v>-64567.892765405886</v>
      </c>
      <c r="D9" s="6">
        <f t="shared" si="0"/>
        <v>-117457.59744454658</v>
      </c>
      <c r="E9" s="6">
        <f t="shared" si="0"/>
        <v>8920.1336604011012</v>
      </c>
      <c r="F9" s="6">
        <f t="shared" si="0"/>
        <v>27050.722956807993</v>
      </c>
      <c r="G9" s="6">
        <f t="shared" si="0"/>
        <v>-61603.723311293958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B9" sqref="B9"/>
    </sheetView>
  </sheetViews>
  <sheetFormatPr defaultRowHeight="14.25" x14ac:dyDescent="0.45"/>
  <cols>
    <col min="1" max="1" width="32.73046875" style="2" customWidth="1"/>
    <col min="2" max="7" width="18.73046875" style="2" customWidth="1"/>
    <col min="8" max="16384" width="9.06640625" style="2"/>
  </cols>
  <sheetData>
    <row r="1" spans="1:7" ht="18" x14ac:dyDescent="0.55000000000000004">
      <c r="A1" s="1" t="s">
        <v>115</v>
      </c>
    </row>
    <row r="2" spans="1:7" ht="14.65" x14ac:dyDescent="0.45">
      <c r="A2" s="2" t="s">
        <v>116</v>
      </c>
    </row>
    <row r="4" spans="1:7" x14ac:dyDescent="0.45">
      <c r="A4" s="3" t="s">
        <v>19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x14ac:dyDescent="0.45">
      <c r="A5" s="4" t="s">
        <v>28</v>
      </c>
      <c r="B5" s="6">
        <f>FFO_Bridge!B9</f>
        <v>-66989.977378155236</v>
      </c>
      <c r="C5" s="6">
        <f>FFO_Bridge!C9</f>
        <v>-64567.892765405886</v>
      </c>
      <c r="D5" s="6">
        <f>FFO_Bridge!D9</f>
        <v>-117457.59744454658</v>
      </c>
      <c r="E5" s="6">
        <f>FFO_Bridge!E9</f>
        <v>8920.1336604011012</v>
      </c>
      <c r="F5" s="6">
        <f>FFO_Bridge!F9</f>
        <v>27050.722956807993</v>
      </c>
      <c r="G5" s="6">
        <f>FFO_Bridge!G9</f>
        <v>-61603.723311293958</v>
      </c>
    </row>
    <row r="6" spans="1:7" x14ac:dyDescent="0.45">
      <c r="A6" s="5" t="s">
        <v>29</v>
      </c>
      <c r="B6" s="6">
        <f>Bridge_Inputs!B11</f>
        <v>0</v>
      </c>
      <c r="C6" s="6">
        <f>Bridge_Inputs!C11</f>
        <v>0</v>
      </c>
      <c r="D6" s="6">
        <f>Bridge_Inputs!D11</f>
        <v>0</v>
      </c>
      <c r="E6" s="6">
        <f>Bridge_Inputs!E11</f>
        <v>0</v>
      </c>
      <c r="F6" s="6">
        <f>Bridge_Inputs!F11</f>
        <v>0</v>
      </c>
      <c r="G6" s="6">
        <f>Bridge_Inputs!G11</f>
        <v>0</v>
      </c>
    </row>
    <row r="7" spans="1:7" x14ac:dyDescent="0.45">
      <c r="A7" s="4" t="s">
        <v>30</v>
      </c>
      <c r="B7" s="6">
        <f>Bridge_Inputs!B12</f>
        <v>0</v>
      </c>
      <c r="C7" s="6">
        <f>Bridge_Inputs!C12</f>
        <v>0</v>
      </c>
      <c r="D7" s="6">
        <f>Bridge_Inputs!D12</f>
        <v>0</v>
      </c>
      <c r="E7" s="6">
        <f>Bridge_Inputs!E12</f>
        <v>0</v>
      </c>
      <c r="F7" s="6">
        <f>Bridge_Inputs!F12</f>
        <v>0</v>
      </c>
      <c r="G7" s="6">
        <f>Bridge_Inputs!G12</f>
        <v>0</v>
      </c>
    </row>
    <row r="8" spans="1:7" x14ac:dyDescent="0.45">
      <c r="A8" s="5" t="s">
        <v>31</v>
      </c>
      <c r="B8" s="6">
        <f>Bridge_Inputs!B13</f>
        <v>0</v>
      </c>
      <c r="C8" s="6">
        <f>Bridge_Inputs!C13</f>
        <v>0</v>
      </c>
      <c r="D8" s="6">
        <f>Bridge_Inputs!D13</f>
        <v>0</v>
      </c>
      <c r="E8" s="6">
        <f>Bridge_Inputs!E13</f>
        <v>0</v>
      </c>
      <c r="F8" s="6">
        <f>Bridge_Inputs!F13</f>
        <v>0</v>
      </c>
      <c r="G8" s="6">
        <f>Bridge_Inputs!G13</f>
        <v>0</v>
      </c>
    </row>
    <row r="9" spans="1:7" x14ac:dyDescent="0.45">
      <c r="A9" s="5" t="s">
        <v>107</v>
      </c>
      <c r="B9" s="6">
        <f>SUM(B5:B8)</f>
        <v>-66989.977378155236</v>
      </c>
      <c r="C9" s="6">
        <f t="shared" ref="C9:G9" si="0">SUM(C5:C8)</f>
        <v>-64567.892765405886</v>
      </c>
      <c r="D9" s="6">
        <f t="shared" si="0"/>
        <v>-117457.59744454658</v>
      </c>
      <c r="E9" s="6">
        <f t="shared" si="0"/>
        <v>8920.1336604011012</v>
      </c>
      <c r="F9" s="6">
        <f t="shared" si="0"/>
        <v>27050.722956807993</v>
      </c>
      <c r="G9" s="6">
        <f t="shared" si="0"/>
        <v>-61603.723311293958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G14" sqref="G14"/>
    </sheetView>
  </sheetViews>
  <sheetFormatPr defaultRowHeight="14.25" x14ac:dyDescent="0.45"/>
  <cols>
    <col min="1" max="1" width="31.86328125" style="2" customWidth="1"/>
    <col min="2" max="2" width="10.53125" style="2" customWidth="1"/>
    <col min="3" max="4" width="10.06640625" style="2" bestFit="1" customWidth="1"/>
    <col min="5" max="16384" width="9.06640625" style="2"/>
  </cols>
  <sheetData>
    <row r="1" spans="1:7" ht="18" x14ac:dyDescent="0.55000000000000004">
      <c r="A1" s="1" t="s">
        <v>38</v>
      </c>
    </row>
    <row r="2" spans="1:7" x14ac:dyDescent="0.45">
      <c r="A2" s="25" t="s">
        <v>118</v>
      </c>
      <c r="G2" s="2" t="s">
        <v>119</v>
      </c>
    </row>
    <row r="3" spans="1:7" x14ac:dyDescent="0.45">
      <c r="G3" s="2" t="s">
        <v>120</v>
      </c>
    </row>
    <row r="4" spans="1:7" x14ac:dyDescent="0.45">
      <c r="A4" s="3" t="s">
        <v>0</v>
      </c>
      <c r="B4" s="10" t="s">
        <v>108</v>
      </c>
      <c r="C4" s="11" t="s">
        <v>109</v>
      </c>
      <c r="D4" s="12" t="s">
        <v>110</v>
      </c>
    </row>
    <row r="5" spans="1:7" x14ac:dyDescent="0.45">
      <c r="A5" s="5" t="s">
        <v>39</v>
      </c>
      <c r="B5" s="6">
        <v>1000000</v>
      </c>
      <c r="C5" s="6">
        <v>1000000</v>
      </c>
      <c r="D5" s="6">
        <v>1000000</v>
      </c>
    </row>
    <row r="6" spans="1:7" x14ac:dyDescent="0.45">
      <c r="A6" s="5" t="s">
        <v>40</v>
      </c>
      <c r="B6" s="14">
        <v>0.8</v>
      </c>
      <c r="C6" s="14">
        <v>0.8</v>
      </c>
      <c r="D6" s="14">
        <v>0.8</v>
      </c>
    </row>
    <row r="7" spans="1:7" x14ac:dyDescent="0.45">
      <c r="A7" s="5" t="s">
        <v>41</v>
      </c>
      <c r="B7" s="23">
        <v>0.25</v>
      </c>
      <c r="C7" s="23">
        <v>0.25</v>
      </c>
      <c r="D7" s="23">
        <v>0.25</v>
      </c>
    </row>
    <row r="10" spans="1:7" x14ac:dyDescent="0.45">
      <c r="A10" s="3" t="s">
        <v>42</v>
      </c>
      <c r="B10" s="10" t="s">
        <v>108</v>
      </c>
      <c r="C10" s="11" t="s">
        <v>109</v>
      </c>
      <c r="D10" s="12" t="s">
        <v>110</v>
      </c>
    </row>
    <row r="11" spans="1:7" x14ac:dyDescent="0.45">
      <c r="A11" s="5" t="s">
        <v>43</v>
      </c>
      <c r="B11" s="6">
        <f>Bridge_Calc!F19</f>
        <v>8920.1336604011012</v>
      </c>
      <c r="C11" s="6">
        <f>Bridge_Calc!G19</f>
        <v>27050.722956807993</v>
      </c>
      <c r="D11" s="6">
        <f>Bridge_Calc!H19</f>
        <v>-61603.723311293958</v>
      </c>
    </row>
    <row r="12" spans="1:7" x14ac:dyDescent="0.45">
      <c r="A12" s="5" t="s">
        <v>44</v>
      </c>
      <c r="B12" s="24">
        <f>IF(B5=0,0,B11/B5)</f>
        <v>8.9201336604011021E-3</v>
      </c>
      <c r="C12" s="24">
        <f>IF(C5=0,0,C11/C5)</f>
        <v>2.7050722956807993E-2</v>
      </c>
      <c r="D12" s="24">
        <f>IF(D5=0,0,D11/D5)</f>
        <v>-6.1603723311293955E-2</v>
      </c>
    </row>
    <row r="13" spans="1:7" x14ac:dyDescent="0.45">
      <c r="A13" s="5" t="s">
        <v>45</v>
      </c>
      <c r="B13" s="24">
        <f>IF(B12&gt;0,MIN(B6*B12,B7),0)</f>
        <v>7.1361069283208817E-3</v>
      </c>
      <c r="C13" s="24">
        <f t="shared" ref="C13:D13" si="0">IF(C12&gt;0,MIN(C6*C12,C7),0)</f>
        <v>2.1640578365446396E-2</v>
      </c>
      <c r="D13" s="24">
        <f t="shared" si="0"/>
        <v>0</v>
      </c>
    </row>
    <row r="14" spans="1:7" x14ac:dyDescent="0.45">
      <c r="A14" s="5" t="s">
        <v>46</v>
      </c>
      <c r="B14" s="23">
        <f>IF(OR(B11&lt;0,B13&lt;0),0,B12/B13)</f>
        <v>1.25</v>
      </c>
      <c r="C14" s="23">
        <f t="shared" ref="C14:D14" si="1">IF(OR(C11&lt;0,C13&lt;0),0,C12/C13)</f>
        <v>1.25</v>
      </c>
      <c r="D14" s="23">
        <f t="shared" si="1"/>
        <v>0</v>
      </c>
    </row>
    <row r="15" spans="1:7" x14ac:dyDescent="0.45">
      <c r="B15" s="27" t="str">
        <f>IF(B13/B12&gt;1, "⚠️ Over-distribution", "OK")</f>
        <v>OK</v>
      </c>
      <c r="C15" s="27" t="str">
        <f t="shared" ref="C15:D15" si="2">IF(C13/C12&gt;1, "⚠️ Over-distribution", "OK")</f>
        <v>OK</v>
      </c>
      <c r="D15" s="27" t="str">
        <f t="shared" si="2"/>
        <v>OK</v>
      </c>
    </row>
    <row r="16" spans="1:7" x14ac:dyDescent="0.45">
      <c r="B16" s="26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zoomScale="85" zoomScaleNormal="85" workbookViewId="0">
      <selection activeCell="R18" sqref="R18"/>
    </sheetView>
  </sheetViews>
  <sheetFormatPr defaultRowHeight="14.25" x14ac:dyDescent="0.45"/>
  <cols>
    <col min="1" max="2" width="16.796875" style="2" customWidth="1"/>
    <col min="3" max="16384" width="9.06640625" style="2"/>
  </cols>
  <sheetData>
    <row r="1" spans="1:2" ht="18.75" x14ac:dyDescent="0.55000000000000004">
      <c r="A1" s="1" t="s">
        <v>102</v>
      </c>
    </row>
    <row r="3" spans="1:2" x14ac:dyDescent="0.45">
      <c r="A3" s="3" t="s">
        <v>19</v>
      </c>
      <c r="B3" s="3" t="s">
        <v>47</v>
      </c>
    </row>
    <row r="4" spans="1:2" x14ac:dyDescent="0.45">
      <c r="A4" s="4" t="s">
        <v>7</v>
      </c>
      <c r="B4" s="6">
        <f>Bridge_Calc!F5</f>
        <v>386003.46699373442</v>
      </c>
    </row>
    <row r="5" spans="1:2" x14ac:dyDescent="0.45">
      <c r="A5" s="4" t="s">
        <v>48</v>
      </c>
      <c r="B5" s="6">
        <f>Bridge_Calc!F6</f>
        <v>-40000</v>
      </c>
    </row>
    <row r="6" spans="1:2" x14ac:dyDescent="0.45">
      <c r="A6" s="4" t="s">
        <v>49</v>
      </c>
      <c r="B6" s="6">
        <f>Bridge_Calc!F7</f>
        <v>-24583.333333333336</v>
      </c>
    </row>
    <row r="7" spans="1:2" x14ac:dyDescent="0.45">
      <c r="A7" s="4" t="s">
        <v>20</v>
      </c>
      <c r="B7" s="6">
        <f>Bridge_Calc!F8</f>
        <v>321420.1336604011</v>
      </c>
    </row>
    <row r="8" spans="1:2" x14ac:dyDescent="0.45">
      <c r="A8" s="4" t="s">
        <v>50</v>
      </c>
      <c r="B8" s="6">
        <f>Bridge_Calc!F10</f>
        <v>0</v>
      </c>
    </row>
    <row r="9" spans="1:2" x14ac:dyDescent="0.45">
      <c r="A9" s="4" t="s">
        <v>51</v>
      </c>
      <c r="B9" s="6">
        <f>Bridge_Calc!F11</f>
        <v>0</v>
      </c>
    </row>
    <row r="10" spans="1:2" x14ac:dyDescent="0.45">
      <c r="A10" s="4" t="s">
        <v>52</v>
      </c>
      <c r="B10" s="6">
        <f>Bridge_Calc!F12</f>
        <v>0</v>
      </c>
    </row>
    <row r="11" spans="1:2" x14ac:dyDescent="0.45">
      <c r="A11" s="4" t="s">
        <v>53</v>
      </c>
      <c r="B11" s="6">
        <f>Bridge_Calc!F13</f>
        <v>-312500</v>
      </c>
    </row>
    <row r="12" spans="1:2" x14ac:dyDescent="0.45">
      <c r="A12" s="19" t="s">
        <v>28</v>
      </c>
      <c r="B12" s="20">
        <f>Bridge_Calc!F14</f>
        <v>8920.1336604011012</v>
      </c>
    </row>
    <row r="13" spans="1:2" x14ac:dyDescent="0.45">
      <c r="A13" s="4" t="s">
        <v>54</v>
      </c>
      <c r="B13" s="6">
        <f>Bridge_Calc!F16</f>
        <v>0</v>
      </c>
    </row>
    <row r="14" spans="1:2" x14ac:dyDescent="0.45">
      <c r="A14" s="4" t="s">
        <v>55</v>
      </c>
      <c r="B14" s="6">
        <f>Bridge_Calc!F17</f>
        <v>0</v>
      </c>
    </row>
    <row r="15" spans="1:2" x14ac:dyDescent="0.45">
      <c r="A15" s="4" t="s">
        <v>56</v>
      </c>
      <c r="B15" s="6">
        <f>Bridge_Calc!F18</f>
        <v>0</v>
      </c>
    </row>
    <row r="16" spans="1:2" x14ac:dyDescent="0.45">
      <c r="A16" s="19" t="s">
        <v>57</v>
      </c>
      <c r="B16" s="20">
        <f>Bridge_Calc!F19</f>
        <v>8920.1336604011012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>
      <selection activeCell="A5" sqref="A5"/>
    </sheetView>
  </sheetViews>
  <sheetFormatPr defaultRowHeight="14.25" x14ac:dyDescent="0.45"/>
  <cols>
    <col min="1" max="1" width="24.59765625" style="2" customWidth="1"/>
    <col min="2" max="2" width="61.9296875" style="2" bestFit="1" customWidth="1"/>
    <col min="3" max="3" width="7.06640625" style="2" bestFit="1" customWidth="1"/>
    <col min="4" max="4" width="14.33203125" style="2" bestFit="1" customWidth="1"/>
    <col min="5" max="16384" width="9.06640625" style="2"/>
  </cols>
  <sheetData>
    <row r="1" spans="1:4" ht="18.75" x14ac:dyDescent="0.55000000000000004">
      <c r="A1" s="1" t="s">
        <v>92</v>
      </c>
    </row>
    <row r="3" spans="1:4" x14ac:dyDescent="0.45">
      <c r="A3" s="3" t="s">
        <v>58</v>
      </c>
      <c r="B3" s="3" t="s">
        <v>59</v>
      </c>
      <c r="C3" s="3" t="s">
        <v>60</v>
      </c>
      <c r="D3" s="3" t="s">
        <v>61</v>
      </c>
    </row>
    <row r="4" spans="1:4" ht="14.65" x14ac:dyDescent="0.45">
      <c r="A4" s="4" t="s">
        <v>7</v>
      </c>
      <c r="B4" s="4" t="s">
        <v>93</v>
      </c>
      <c r="C4" s="4" t="s">
        <v>62</v>
      </c>
      <c r="D4" s="4" t="s">
        <v>63</v>
      </c>
    </row>
    <row r="5" spans="1:4" x14ac:dyDescent="0.45">
      <c r="A5" s="4" t="s">
        <v>64</v>
      </c>
      <c r="B5" s="4" t="s">
        <v>65</v>
      </c>
      <c r="C5" s="4" t="s">
        <v>62</v>
      </c>
      <c r="D5" s="4" t="s">
        <v>63</v>
      </c>
    </row>
    <row r="6" spans="1:4" x14ac:dyDescent="0.45">
      <c r="A6" s="4" t="s">
        <v>66</v>
      </c>
      <c r="B6" s="4" t="s">
        <v>67</v>
      </c>
      <c r="C6" s="4" t="s">
        <v>62</v>
      </c>
      <c r="D6" s="4" t="s">
        <v>63</v>
      </c>
    </row>
    <row r="7" spans="1:4" x14ac:dyDescent="0.45">
      <c r="A7" s="4" t="s">
        <v>68</v>
      </c>
      <c r="B7" s="4" t="s">
        <v>69</v>
      </c>
      <c r="C7" s="4" t="s">
        <v>62</v>
      </c>
      <c r="D7" s="4" t="s">
        <v>63</v>
      </c>
    </row>
    <row r="8" spans="1:4" x14ac:dyDescent="0.45">
      <c r="A8" s="4" t="s">
        <v>70</v>
      </c>
      <c r="B8" s="4" t="s">
        <v>71</v>
      </c>
      <c r="C8" s="4" t="s">
        <v>62</v>
      </c>
      <c r="D8" s="4" t="s">
        <v>63</v>
      </c>
    </row>
    <row r="9" spans="1:4" x14ac:dyDescent="0.45">
      <c r="A9" s="4" t="s">
        <v>72</v>
      </c>
      <c r="B9" s="4" t="s">
        <v>73</v>
      </c>
      <c r="C9" s="4" t="s">
        <v>62</v>
      </c>
      <c r="D9" s="4" t="s">
        <v>63</v>
      </c>
    </row>
    <row r="10" spans="1:4" x14ac:dyDescent="0.45">
      <c r="A10" s="4" t="s">
        <v>74</v>
      </c>
      <c r="B10" s="4" t="s">
        <v>75</v>
      </c>
      <c r="C10" s="4" t="s">
        <v>62</v>
      </c>
      <c r="D10" s="4" t="s">
        <v>63</v>
      </c>
    </row>
    <row r="11" spans="1:4" x14ac:dyDescent="0.45">
      <c r="A11" s="4" t="s">
        <v>54</v>
      </c>
      <c r="B11" s="4" t="s">
        <v>76</v>
      </c>
      <c r="C11" s="4" t="s">
        <v>62</v>
      </c>
      <c r="D11" s="4" t="s">
        <v>63</v>
      </c>
    </row>
    <row r="12" spans="1:4" x14ac:dyDescent="0.45">
      <c r="A12" s="4" t="s">
        <v>77</v>
      </c>
      <c r="B12" s="4" t="s">
        <v>78</v>
      </c>
      <c r="C12" s="4" t="s">
        <v>62</v>
      </c>
      <c r="D12" s="4" t="s">
        <v>63</v>
      </c>
    </row>
    <row r="13" spans="1:4" x14ac:dyDescent="0.45">
      <c r="A13" s="4" t="s">
        <v>79</v>
      </c>
      <c r="B13" s="4" t="s">
        <v>80</v>
      </c>
      <c r="C13" s="4" t="s">
        <v>62</v>
      </c>
      <c r="D13" s="4" t="s">
        <v>63</v>
      </c>
    </row>
    <row r="14" spans="1:4" x14ac:dyDescent="0.45">
      <c r="A14" s="4" t="s">
        <v>24</v>
      </c>
      <c r="B14" s="4" t="s">
        <v>81</v>
      </c>
      <c r="C14" s="4" t="s">
        <v>62</v>
      </c>
      <c r="D14" s="4" t="s">
        <v>24</v>
      </c>
    </row>
    <row r="15" spans="1:4" x14ac:dyDescent="0.45">
      <c r="A15" s="4" t="s">
        <v>28</v>
      </c>
      <c r="B15" s="4" t="s">
        <v>82</v>
      </c>
      <c r="C15" s="4" t="s">
        <v>62</v>
      </c>
      <c r="D15" s="4" t="s">
        <v>83</v>
      </c>
    </row>
    <row r="16" spans="1:4" x14ac:dyDescent="0.45">
      <c r="A16" s="4" t="s">
        <v>57</v>
      </c>
      <c r="B16" s="4" t="s">
        <v>84</v>
      </c>
      <c r="C16" s="4" t="s">
        <v>62</v>
      </c>
      <c r="D16" s="4" t="s">
        <v>85</v>
      </c>
    </row>
    <row r="17" spans="1:4" x14ac:dyDescent="0.45">
      <c r="A17" s="4" t="s">
        <v>86</v>
      </c>
      <c r="B17" s="4" t="s">
        <v>87</v>
      </c>
      <c r="C17" s="4" t="s">
        <v>88</v>
      </c>
      <c r="D17" s="4" t="s">
        <v>89</v>
      </c>
    </row>
    <row r="18" spans="1:4" x14ac:dyDescent="0.45">
      <c r="A18" s="4" t="s">
        <v>89</v>
      </c>
      <c r="B18" s="4" t="s">
        <v>90</v>
      </c>
      <c r="C18" s="4" t="s">
        <v>91</v>
      </c>
      <c r="D18" s="4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Bridge_Inputs</vt:lpstr>
      <vt:lpstr>Bridge_Calc</vt:lpstr>
      <vt:lpstr>EBITDAre</vt:lpstr>
      <vt:lpstr>FFO_Bridge</vt:lpstr>
      <vt:lpstr>AFFO_Bridge</vt:lpstr>
      <vt:lpstr>Coverage</vt:lpstr>
      <vt:lpstr>Bridge_Chart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Eilin 10</cp:lastModifiedBy>
  <dcterms:created xsi:type="dcterms:W3CDTF">2025-11-06T04:09:22Z</dcterms:created>
  <dcterms:modified xsi:type="dcterms:W3CDTF">2025-11-07T10:20:34Z</dcterms:modified>
</cp:coreProperties>
</file>